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Anim II" sheetId="1" state="visible" r:id="rId3"/>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<sst xmlns="http://schemas.openxmlformats.org/spreadsheetml/2006/main" count="814" uniqueCount="314">
  <si>
    <t xml:space="preserve">
MATRIZ IDENTIFICACIÓN DE PELIGROS, VALORACIÓN DE RIESGOS Y DETERMINACIÓN DE CONTROLES
</t>
  </si>
  <si>
    <t xml:space="preserve">IDENTIFICACIÓN DE PELIGROS </t>
  </si>
  <si>
    <t xml:space="preserve">VALORACIÓN DE RIESGOS </t>
  </si>
  <si>
    <t xml:space="preserve">MEDIDAS DE PREVENCIÓN Y CONTROL </t>
  </si>
  <si>
    <t xml:space="preserve">VALORACIÓN DE RIESGOS CON LAS MEDIDAS DE INTERVENCIÓN </t>
  </si>
  <si>
    <t xml:space="preserve">Factor de Reducción F= (NR1-NRF)/(NR1)*100</t>
  </si>
  <si>
    <t xml:space="preserve">PORCENTAJE DE CUMPLIMIENTO DE LAS MEDIDAS DE PREVENCION Y CONTROL</t>
  </si>
  <si>
    <t xml:space="preserve">EVALUACIÓN DE LA EFICACIA</t>
  </si>
  <si>
    <t xml:space="preserve">DESCRIPCIÓN DE LA ACTIVIDAD </t>
  </si>
  <si>
    <t xml:space="preserve">CARACTERIZACIÓN DEL PELIGRO </t>
  </si>
  <si>
    <t xml:space="preserve">CONTROLES EXISTENTES</t>
  </si>
  <si>
    <t xml:space="preserve">EVALUACIÓN</t>
  </si>
  <si>
    <t xml:space="preserve">Valoración del riesgo
(aceptabilidad)</t>
  </si>
  <si>
    <t xml:space="preserve">PERSONAL EXPUESTO</t>
  </si>
  <si>
    <t xml:space="preserve">Eliminación </t>
  </si>
  <si>
    <t xml:space="preserve">Sustitución</t>
  </si>
  <si>
    <t xml:space="preserve">Control de Ingeniería</t>
  </si>
  <si>
    <t xml:space="preserve">Señalización/Advertencia, Control Administrativo </t>
  </si>
  <si>
    <t xml:space="preserve">Equipos de Protección Personal.</t>
  </si>
  <si>
    <t xml:space="preserve">Responsable </t>
  </si>
  <si>
    <t xml:space="preserve">ELIMINACIÓN</t>
  </si>
  <si>
    <t xml:space="preserve">SUSTITUCIÓN</t>
  </si>
  <si>
    <t xml:space="preserve">CONTROLES DE INGENIERÍA</t>
  </si>
  <si>
    <t xml:space="preserve">SEÑALIZACIÓN /ADVERTENCIA CONTROLES ADMINISTRATIVOS </t>
  </si>
  <si>
    <t xml:space="preserve">EPP</t>
  </si>
  <si>
    <t xml:space="preserve">Eficaz </t>
  </si>
  <si>
    <t xml:space="preserve">No eficaz </t>
  </si>
  <si>
    <t xml:space="preserve">Observaciones</t>
  </si>
  <si>
    <t xml:space="preserve">PROCESO</t>
  </si>
  <si>
    <t xml:space="preserve">Actividad </t>
  </si>
  <si>
    <t xml:space="preserve">Tarea </t>
  </si>
  <si>
    <t xml:space="preserve">RUTINARIA (SI/NO)</t>
  </si>
  <si>
    <t xml:space="preserve">AGENTE DE RIESGO</t>
  </si>
  <si>
    <t xml:space="preserve">DESCRIPCIÓN DEL PELIGRO</t>
  </si>
  <si>
    <t xml:space="preserve">EFECTOS POSIBLES (CONSECUENCIAS)</t>
  </si>
  <si>
    <t xml:space="preserve">FUENTE </t>
  </si>
  <si>
    <t xml:space="preserve">MEDIO</t>
  </si>
  <si>
    <t xml:space="preserve">INDIVIDUO</t>
  </si>
  <si>
    <t xml:space="preserve">PROBABILIDAD</t>
  </si>
  <si>
    <t xml:space="preserve">Nivel de consecuencia (NC)</t>
  </si>
  <si>
    <t xml:space="preserve">Nivel de riesgo (NR1)</t>
  </si>
  <si>
    <t xml:space="preserve">Interpretación 
NR</t>
  </si>
  <si>
    <t xml:space="preserve">CARGOS EXPUESTOS</t>
  </si>
  <si>
    <t xml:space="preserve">DIRECTO </t>
  </si>
  <si>
    <t xml:space="preserve">CONTRATISTA </t>
  </si>
  <si>
    <t xml:space="preserve">COMUNIDAD </t>
  </si>
  <si>
    <t xml:space="preserve">VISITANTE - CLIENTES</t>
  </si>
  <si>
    <t xml:space="preserve">TOTAL </t>
  </si>
  <si>
    <t xml:space="preserve"> probabilidad </t>
  </si>
  <si>
    <t xml:space="preserve">Nivel de riesgo final (NRF)</t>
  </si>
  <si>
    <t xml:space="preserve">Nivel de Deficiencia (ND)</t>
  </si>
  <si>
    <t xml:space="preserve">Nivel de Exposición (NE)</t>
  </si>
  <si>
    <t xml:space="preserve">Nivel de probabilidad 
(NP=ND X NE)</t>
  </si>
  <si>
    <t xml:space="preserve">Interpretación 
NP</t>
  </si>
  <si>
    <t xml:space="preserve">OPERATIVO Y ADMINISTRATIVO</t>
  </si>
  <si>
    <t xml:space="preserve"> LIMPIEZA Y ASEO DE LAS INTALACIONES FÍSICAS DEL EDIFICIO</t>
  </si>
  <si>
    <t xml:space="preserve">EXPOSICIÓN A SUSTANCIAS Y VAPORES DE PRODUCTOS DE LIMPIEZA</t>
  </si>
  <si>
    <t xml:space="preserve">SI</t>
  </si>
  <si>
    <t xml:space="preserve">QUIMICO </t>
  </si>
  <si>
    <t xml:space="preserve">UTILIZACIÓN DE PRODUCTOS QUÍMICOS</t>
  </si>
  <si>
    <t xml:space="preserve">ALTERACIONES CUTÁNEAS: IRRITACIÓN EN LA PIEL, CONJUNTIVITIS, QUEMADURAS EN LA PIEL Y MUCOSAS. ALTERACIONES DEL SISTEMA RESPIRATORIO. ALTERACIONES DEL SISTEMA NERVIOSO CENTRAL.</t>
  </si>
  <si>
    <t xml:space="preserve">NO OBSERVADOS</t>
  </si>
  <si>
    <t xml:space="preserve">USO DE EPP COMO GUANTES, UNIFORME ANTIFLUIDOS</t>
  </si>
  <si>
    <t xml:space="preserve">AUXILIAR DE ASEO (CONTRATISTA) </t>
  </si>
  <si>
    <t xml:space="preserve">No observados</t>
  </si>
  <si>
    <t xml:space="preserve">CAPACITAR SOBRE USO ADECUADO DE ELEMENTOS DE PROTECCIÓN PERSONAL Y ASEGURAR SU USO. EVALUAR DE ACUERDO A LA EXPOSICIÓN SI LA PROTECCIÓN RESPIRATORIA ES LA ADECUADA. CAPACITAR SOBRE HOJAS DE SEGURIDAD. CAPACITAR EN PRIMEROS AUXILIOS PARA ATENCIÓN PRIMARIA POR SALPICADURAS. CAPACITAR SOBRE RIESGO QUÍMICO, PROGRAMA DE MANEJO DE SUSTANCIAS QUÍMICAS, FICHAS DE SEGURIDAD- EPPS.</t>
  </si>
  <si>
    <t xml:space="preserve">EQUIPOS DE PROTECCIÓN PERSONAL (VISUAL, GUANTES, BOTAS, PÉTO, CARETA, RESPIRADORES)</t>
  </si>
  <si>
    <t xml:space="preserve">Responsable SG-SST</t>
  </si>
  <si>
    <t xml:space="preserve">EXPOSICIÓN Y CONTACTO CON VIRUS, BACTERIAS Y HONGOS</t>
  </si>
  <si>
    <t xml:space="preserve">BIOLÓGICO </t>
  </si>
  <si>
    <t xml:space="preserve">VIRUS, HONGOS Y BACTERIAS</t>
  </si>
  <si>
    <t xml:space="preserve">PROCESOS INFECCIOSOS, TÓXICOS O ALÉRGICOS, GASTROENTERITIS, FIEBRE, DOLOR DE CABEZA, VOMITOS, GRIPES, INFECCIONES RESPIRATORIAS </t>
  </si>
  <si>
    <t xml:space="preserve">CAPACITAR A LOS TRABAJADORES EL PROCEDIMIENTO A SEGUIR EN CASO DE MORDEDURAS, GOLPES, PISADAS DE ANIMALES, PICADURA DE INSECTOS, ETC.</t>
  </si>
  <si>
    <t xml:space="preserve">ILUMINACIÓN EN DIFERENTES AREAS DE TRABAJO</t>
  </si>
  <si>
    <t xml:space="preserve">FÍSICO</t>
  </si>
  <si>
    <t xml:space="preserve">ILUMINCACIÓN DEFICIENTE O EXCESIVA</t>
  </si>
  <si>
    <t xml:space="preserve">DISMINUCIÓN EN LA CAPACIDAD VISUAL, DOLOR DE CABEZA, MIGRAÑA Y MALA EJECUCIÓN DE LAS ACTIVIDADES</t>
  </si>
  <si>
    <t xml:space="preserve">RETROALIMENTACION DE RECOMENDACIONES MEDICAS
ESTUDIOS DE IUMINACION O CAMBIO DE ILUMINARIAS </t>
  </si>
  <si>
    <t xml:space="preserve">TAREA REPETITIVA</t>
  </si>
  <si>
    <t xml:space="preserve">PSICOSOCIAL</t>
  </si>
  <si>
    <t xml:space="preserve">BIENESTAR SOCIAL, DEMANDAS CUALITATIVAS Y CUANTITATIVAS DE LA LABOR, RELACIONES, CARGA MENTAL, CONTENIDO DE LA TAREA, DEMANDAS EMOCIONALES.</t>
  </si>
  <si>
    <t xml:space="preserve">MAYOR PREDISPOSICIÓN A ENFERMARSE. ESTRÉS OCUPACIONAL, DESMOTIVACIÓN, APATÍA, DISMINUCIÓN DEL RENDIMIENTO, CAMBIOS DE COMPORTAMIENTO: IRRITABILIDAD.</t>
  </si>
  <si>
    <t xml:space="preserve">Identificar  y evaluar los factores de riesgo psicosocial de acuerdo con lo establecido en la Resolución 2646 de 2008. Hacer revisión de manual de cargos y funciones.</t>
  </si>
  <si>
    <t xml:space="preserve">MANUPULACIÓN MANUAL DE CARGAS, LEVANTAMIENTO Y TRANSPORTE DE RECIPIENTES DE LIMPIEZA Y OTROS (BOLSAS DE RESIDUOS)</t>
  </si>
  <si>
    <t xml:space="preserve">BIOMECANICO </t>
  </si>
  <si>
    <t xml:space="preserve">SOBREESFUERZO</t>
  </si>
  <si>
    <t xml:space="preserve">FATIGA MUSCULAR, LESIONES Y/O OSTEOMUSCULARES, HERNIA DISCAL, CERVICALGIAS, LUMBALGIAS.</t>
  </si>
  <si>
    <t xml:space="preserve">PAUSAS ACTIVAS, CAPACITACIÓN EN POSTURAS.
CAPACITACION EN LEVANTAMIENTO Y TRANSPORTE DE PESOS, PAUSAS ACTIVAS</t>
  </si>
  <si>
    <t xml:space="preserve">N/A</t>
  </si>
  <si>
    <t xml:space="preserve">MOVIMIENTOS REPETITIVOS DE EXTREMIDADES SUPERIORES</t>
  </si>
  <si>
    <t xml:space="preserve">MOVIMIENTOS REPETITIVOS</t>
  </si>
  <si>
    <t xml:space="preserve">TUNEL DEL CARPO, MAGUITO ROTADOR EN GENERAL DESOSDENES MUSCULOESQUELETICOS</t>
  </si>
  <si>
    <t xml:space="preserve">RELIZAR PAUSAS ACTIVAS MINIMO DOS VECES AL DÍA POR ÁREA DE TRABAJO</t>
  </si>
  <si>
    <t xml:space="preserve">FELULAS PARA PERSONAS QUE TENGAN TENDINITIS</t>
  </si>
  <si>
    <t xml:space="preserve">Responsable SST</t>
  </si>
  <si>
    <t xml:space="preserve">MANIPULACIÓN DE MATERIAL PARTICULADO</t>
  </si>
  <si>
    <t xml:space="preserve">GENERACIÓN DE POLVO RESULTADO DE LAS ACTIVIDADES DE LIMPIEZA</t>
  </si>
  <si>
    <t xml:space="preserve">IRRITACIÓN EN OJOS PIEL Y VÍAS RESPIRATORIAS; IRRITACIÓN DE LA GARGANTA Y LOS PULMONES
ASMA, DERMATITIS, CEFALEA.</t>
  </si>
  <si>
    <t xml:space="preserve">USO DE EPP COMO GUANTES, TAPA BOCAS Y GAFAS </t>
  </si>
  <si>
    <t xml:space="preserve">USO DE EPP,CAMPAÑA DE ELEMENTOS DEL BUEN USO DE ELEMENTOS DE PROTECCIÓN PERSONAL. CAMPAÑAS DE BIOSEGURIDAD. LAVADO DE MANOS</t>
  </si>
  <si>
    <t xml:space="preserve">PROTECCIÓN VISUAL, RESPIRATORIA Y GUANTES</t>
  </si>
  <si>
    <t xml:space="preserve">CABLEADO POR FUERA DE CANALETAS CAÍDAS DE OBJETO. CABLEADO EXPUESTO DE EQUIPOS MÉDICOS, TECLADOS, MONITORES, MOUSE.</t>
  </si>
  <si>
    <t xml:space="preserve">
CONDICIONES DE SEGURIDAD - LOCATIVO (CONDICIONES DE ASEO, CAÍDAS DE OBJETOS)</t>
  </si>
  <si>
    <t xml:space="preserve">CAÍDAS A MISMO NIVEL, TROPIEZOS, ENREDOS GOLPES, CONTUSIONES.</t>
  </si>
  <si>
    <t xml:space="preserve">CONDICIONES DE ORDEN Y ASEO, CAÍDAS DE OBJETOS. CABLES DE EQUIPOS DESORDENADOS.</t>
  </si>
  <si>
    <t xml:space="preserve">ACTIVIDADES DE PROMOCIÓN Y PREVENCIÓN DEL RIESGO LOCATIVO- CONDICIONES DE ORDEN Y ASEO. INSPECCIONES PLANEADAS Y AUTOCUIDADO</t>
  </si>
  <si>
    <t xml:space="preserve">CAÍDA A NIVEL DENTRO DE LAS INSTALACIONES</t>
  </si>
  <si>
    <t xml:space="preserve">NO</t>
  </si>
  <si>
    <t xml:space="preserve">LOCATIVO</t>
  </si>
  <si>
    <t xml:space="preserve">CONDICIONES DE SEGURIDAD - LOCATIVO (CAIDAS A NIVEL)</t>
  </si>
  <si>
    <t xml:space="preserve">CAÍDAS,  TROPIEZOS, GOLPES, CONTUSIONES</t>
  </si>
  <si>
    <t xml:space="preserve">ACTIVIDADES DE PROMOCIÓN Y PREVENCIÓN DE RIESGO LOCATIVO- CAÍDAS A NIVEL.
AUTOCUIDADO. INSPECCIONES PLANEADAS</t>
  </si>
  <si>
    <t xml:space="preserve">MANTENIMIENTO DE INSTALACIONES FÍSICAS</t>
  </si>
  <si>
    <t xml:space="preserve">LOCATIVO, SUPERCIES DE TRABAJO HUMEDAS</t>
  </si>
  <si>
    <t xml:space="preserve">CONDICIONES DE SEGURIDAD</t>
  </si>
  <si>
    <t xml:space="preserve">CAIDA AL MISMO NIVEL</t>
  </si>
  <si>
    <t xml:space="preserve">GOLPES, CONTUSIONES, ESGUINCES</t>
  </si>
  <si>
    <t xml:space="preserve">SEÑALIZAR AREAS DE CIRCULACION DEL PERSONAL DISPONER DE SITIOS PARA ALAMCENAR HERRAMIENTAS, EQUIPOS, Y MATERIALES </t>
  </si>
  <si>
    <t xml:space="preserve">CAPACITAR EN ORDEN Y ASEO</t>
  </si>
  <si>
    <t xml:space="preserve">MANEJO DE EXCREMENTO ANIMAL, MORDEDURAS O PICADURAS DE INSECTOS</t>
  </si>
  <si>
    <t xml:space="preserve">MACROORGANISMOS (MORDEDURAS, GOLPES, PISADAS DE ANIMALES, PICADURA DE INSECTOS RESULTANTES DE LA LABOR REALIZADA)</t>
  </si>
  <si>
    <t xml:space="preserve">GOLPES, TRAUMAS, HERIDAS, INFECCIONES, INTOXICACIÓN, MUERTE.</t>
  </si>
  <si>
    <t xml:space="preserve">USO DE GUANTES PARA REALIZAR LAS DIFERENTES LABORES </t>
  </si>
  <si>
    <t xml:space="preserve">CONSERJE / PORTERO (CONTRATISTA)</t>
  </si>
  <si>
    <t xml:space="preserve">
CAPACITAR A LOS TRABAJADORES EL PROCEDIMIENTO A SEGUIR EN CASO DE MORDEDURAS, GOLPES, PISADAS DE ANIMALES, PICADURA DE INSECTOS, ETC.
</t>
  </si>
  <si>
    <t xml:space="preserve">RADIACIONES NO IONIZANTES, EXPOSICIÓN A RAYOS SOLARES (UV)</t>
  </si>
  <si>
    <t xml:space="preserve">RADIACIONES NO IONIZANTES POR EL SOL</t>
  </si>
  <si>
    <t xml:space="preserve">TÉRMICO, CALAMBRES, QUEMADURAS DE PRIMER GRADO</t>
  </si>
  <si>
    <t xml:space="preserve">USO DE SOMBRERO, GORRA </t>
  </si>
  <si>
    <t xml:space="preserve">USO DE BLOQUEADOR SOLAR Y PROTECCIÓN OCULAR (GAFAS</t>
  </si>
  <si>
    <t xml:space="preserve">CONTENIDO DE LA TAREA DEMANDA CUALITATIVA Y CUANTITATIVA DE LA LABOR </t>
  </si>
  <si>
    <t xml:space="preserve">IDENTIFICAR Y EVALUAR LOS FACTORES DE RIESGO PSICOSOCIAL DE ACUERDO CON LO ESTABLECIDO EN LA RESOLUCIÓN 2646 DE 2008. HACER REVISIÓN DE MANUAL DE CARGOS Y FUNCIONES.</t>
  </si>
  <si>
    <t xml:space="preserve">POSTURAS MANTENIDAS INADECUADAS </t>
  </si>
  <si>
    <t xml:space="preserve">POSICIONES SEDENTES PROLONGADAS O BIPEDAS PROLONGADAS SEGÚN LA TAREA</t>
  </si>
  <si>
    <t xml:space="preserve">LESIONES OSTEOMUSCULARES – TRAUMAS ACUMULATIVOS, LUMBALGIAS, ESPASMOS, ALTERACIONES EN LA CIRCULACIÓN DE LA SANGRE</t>
  </si>
  <si>
    <t xml:space="preserve">RELIZAR PAUSAS ACTIVAS MINIMO DOS VECES AL DÍA. </t>
  </si>
  <si>
    <t xml:space="preserve">MECANICO-MANIPULACIÓN DE EQUIPOS Y HERRAMIENTAS DE CORTE </t>
  </si>
  <si>
    <t xml:space="preserve">MECÁNICO </t>
  </si>
  <si>
    <t xml:space="preserve">MECÁNICO (MANIPULACIÓN DE HERRAMIENTAS MANUALES Y/O EQUIPOS).</t>
  </si>
  <si>
    <t xml:space="preserve">LESIONES EN TEJIDOS BLANDOS: HERIDAS, CORTADURAS</t>
  </si>
  <si>
    <t xml:space="preserve">GUANTES PARA MANIPULACIÓN DE HERRAMIENTAS Y EQUIPOS</t>
  </si>
  <si>
    <t xml:space="preserve">CAPACITAR EN MANEJO SEGURO DE HERRAMIENTAS MANUALES Y EQUIPOS</t>
  </si>
  <si>
    <t xml:space="preserve">GUANTES PARA MANIPULACIÓN DE EQUIPOS Y HERRAMIENTAS </t>
  </si>
  <si>
    <t xml:space="preserve">INSTALACIÓNES ELÉCTRICAS</t>
  </si>
  <si>
    <t xml:space="preserve">ELÉCTRICO</t>
  </si>
  <si>
    <t xml:space="preserve">ELÉCTRICO (BAJA TENSIÓN)</t>
  </si>
  <si>
    <t xml:space="preserve">CONTRACCIÓN MUSCULAR, DIFICULTAD RESPIRATORIA, FIBRILACIÓN VENTRICULAR, QUEMADURAS.</t>
  </si>
  <si>
    <t xml:space="preserve">NO SOBRECARGAR TOMAS ELÉCTRICAS. NO UTILIZAR HERRAMIENTAS ELÉCTRICAS CON LAS MANOS O PIES HÚMEDOS. NO DESCONECTAR LOS EQUIPOS TIRANDO LOS CABLES, NO MANIPULE LAS INSTALACIONES ELÉCTRICAS SI NO ESTA FORMADO Y AUTORIZADO PARA ELLO. EVALUAR QUE LAS INSTALACIONES ELÉCTRICAS ESTÉN DE ACUERDO AL RETIE.</t>
  </si>
  <si>
    <t xml:space="preserve">CAPACITACIÓN DE RIESGO ELÉCTRICO</t>
  </si>
  <si>
    <t xml:space="preserve">INSPECCIONES SEÑALIZACIÓN DEMARCACIÓN Y POLO A TIERRA</t>
  </si>
  <si>
    <t xml:space="preserve">TRABAJO EN ALTURAS/MANTENIMIENTO DE INFRACTRUCTURA MAYOR A 1,50 MTS</t>
  </si>
  <si>
    <t xml:space="preserve">CAIDA DE ALTURA</t>
  </si>
  <si>
    <t xml:space="preserve">GOLPES, TRAUMATISMOS, FRACTURAS</t>
  </si>
  <si>
    <t xml:space="preserve">PUNTOS DE ANCLAJE RESISTENTES PARA TRABAJO EN ALTURAS</t>
  </si>
  <si>
    <t xml:space="preserve">EXIGIR A TODO TRABAJADOR CURSO AVANZADO DE T.S.A, SEÑALIZAR Y DEMARCAR TODAS LAS AREAS PELIGROSAS</t>
  </si>
  <si>
    <t xml:space="preserve">CAPACITAR AL TRABAJADOR EN TRABAJO SEGURO EN ALTURAS                                 ENTREGA DE EPP ( CASCO CON BARBUQUEJO, ARNES, ESLINGA, LINEA DE VIDA, BOTAS CON PUNTERA)</t>
  </si>
  <si>
    <t xml:space="preserve">MANIPULACION DE SUSTANCIAS QUÍMICAS COMO CEMENTO U OTROS AGENTES QUÍMICOS</t>
  </si>
  <si>
    <t xml:space="preserve">QUÍMICO</t>
  </si>
  <si>
    <t xml:space="preserve">CONTACTO CON SUSTANCIAS QUÍMICAS</t>
  </si>
  <si>
    <t xml:space="preserve">REACCIONES ALÉRGICAS AFECCIONES RESPIRATORIAS</t>
  </si>
  <si>
    <t xml:space="preserve">ALMACENAMIENTO ADECUADO DE SUSTANCIAS QUÍMICAS SEÑALIZACION E IDENTIFICACIÓN DE LAS SUSTANCIAS (SISTEMA GLOBALMENTE ARMONIZADO ) PELIGROSAS INSPECCIONES DE SEGURIDAD</t>
  </si>
  <si>
    <t xml:space="preserve">ENTREGA DE EPP (PROTECCION RESPIRATORIA, GUANTES, GAFAS)                                          CAPACITACION EN SUSTANCIAS PELIGROSAS</t>
  </si>
  <si>
    <t xml:space="preserve">MANIPULACIÓN  DE ELEMENTOS CORTOPUNZANTES (ALAMBRE, PUNTILLAS U OTROS)</t>
  </si>
  <si>
    <t xml:space="preserve">DE SEGURIDAD-MECÁNICO</t>
  </si>
  <si>
    <t xml:space="preserve">CONTACTO CON ELEMENTOS CORTOPUNZANTES</t>
  </si>
  <si>
    <t xml:space="preserve">HERIDAS, INFECCIONES POR HERIDAS</t>
  </si>
  <si>
    <t xml:space="preserve">SEÑALIZACIÓN USO DE EPP (GUANTES, GAFAS)  SEÑALIZACIÓN PREVENCIÓN DE LESIONES EN MANOS</t>
  </si>
  <si>
    <t xml:space="preserve">CAPACITACIÓN EN PREVENCIÓN DE LESIONES EN MANOS                 CAPACITACIÓN EN MANEJO SEGURO DE HERRAMIENTAS Y MÁQUINAS</t>
  </si>
  <si>
    <t xml:space="preserve">MANEJO DE CARGAS</t>
  </si>
  <si>
    <t xml:space="preserve">BIOMECANICO</t>
  </si>
  <si>
    <t xml:space="preserve">IMPLEMENTACION DE AYUDAS MECANICAS</t>
  </si>
  <si>
    <t xml:space="preserve">RAMPAS, SEÑALIZACION EN PAUSAS ACTIVAS   DISTRIBUIR CARGAS</t>
  </si>
  <si>
    <t xml:space="preserve">CAPACITACION EN LEVANTAMIENTO Y TRANSPORTE DE PESOS, PAUSAS ACTIVAS</t>
  </si>
  <si>
    <t xml:space="preserve">USO DE HERRAMIENTAS </t>
  </si>
  <si>
    <t xml:space="preserve">ALTERACIONES  OSTEOMUSCULARES,FATIGA MUSCULAR, LESIONES EN ARTICULACIONES Y TENDONES ENTRE OTROS</t>
  </si>
  <si>
    <t xml:space="preserve">IMPLEMENTACIÓN DE AYUDAS MECANICAS</t>
  </si>
  <si>
    <t xml:space="preserve">USO DE HERRAMIENTAS ELECTROMANUALES</t>
  </si>
  <si>
    <t xml:space="preserve">No</t>
  </si>
  <si>
    <t xml:space="preserve">FÍSICO
RUIDO</t>
  </si>
  <si>
    <t xml:space="preserve">ACTIVIDADES EN EL CUARTO DE MOTORES, PULIDORA, MARTILLO, TALADRO U OTROS QUE GENEREN NIVELES DE RUIDO </t>
  </si>
  <si>
    <t xml:space="preserve">HIPOACUSIA, SORDERA PROFESIONAL, IRRITABILIDAD, AUMENTO DEL RITMO CARDIACO Y PRESIÓN ARTERIAL, ESTRÉS, INSATISFACCIÓN.</t>
  </si>
  <si>
    <t xml:space="preserve">CAPACITACIÓN EN CONSERVACIÓN AUDITIVA </t>
  </si>
  <si>
    <t xml:space="preserve">ENTREGA DE EPP, CAPACITACIÓN EN CONSERVACIÓN AUDITIVA</t>
  </si>
  <si>
    <t xml:space="preserve">ACTIVIDADES DE SANEAMIENTO BÁSICO (FUMIGACIÓN, USO DE PLAGUICIDAS)</t>
  </si>
  <si>
    <t xml:space="preserve">QUÍMICOS</t>
  </si>
  <si>
    <t xml:space="preserve">USO DE AGENTES QUÍMICOS PARA ACTIVIDADES DE DESINFECCIÓN ASI COMO DE FUMIGACIÓN.
CONTACTO CON SUSTANCIAS QUÍMICAS (FUNGICIDAS)</t>
  </si>
  <si>
    <t xml:space="preserve">MAREOS, INTOXICACIÓN, DERMATITIS, QUEMADURAS EN EL TRACTO RESPIRATORIO</t>
  </si>
  <si>
    <t xml:space="preserve">USO DE GUANTES</t>
  </si>
  <si>
    <t xml:space="preserve">CAPACITAR SOBRE USO ADECUADO DE ELEMENTOS DE PROTECCIÓN PERSONAL Y ASEGURAR SU USO. EVALUAR DE ACUERDO A LA EXPOSICIÓN SI LA PROTECCIÓN RESPIRATORIA ES LA ADECUADA. CAPACITAR SOBRE HOJAS DE SEGURIDAD. CAPACITAR EN PRIMEROS AUXILIOS PARA ATENCIÓN PRIMARIA POR SALPICADURAS. CAPACITAR SOBRE RIESGO QUÍMICO.</t>
  </si>
  <si>
    <t xml:space="preserve">EPP (GUANTES, RESPIRATORIO, VISUAL)</t>
  </si>
  <si>
    <t xml:space="preserve">VIGILANTE (CONTRATISTA)</t>
  </si>
  <si>
    <t xml:space="preserve">ACTIVIDADES ADMINISTRATIVAS </t>
  </si>
  <si>
    <t xml:space="preserve">EXPOSICIÓN A MICROORGANISMOS PRESENTES EN EL ARCHIVO (RICKETSIAS, ACAROS, ENTRE OTROS) </t>
  </si>
  <si>
    <t xml:space="preserve">EXPOSICIÓN A VIRUS Y BACTERIAS POR USO COLECTIVO DE BAÑOS o MORDEDURA DE ANIMALES EN LA CALLE </t>
  </si>
  <si>
    <t xml:space="preserve">ENFERMEDADES INFECTOCONTAGIOSAS</t>
  </si>
  <si>
    <t xml:space="preserve">ADMINISTRADOR (A)
REVISOR FISCAL
REPRESENTANTE LEGAL</t>
  </si>
  <si>
    <t xml:space="preserve">CAPACITACIÓN SOBRE RIESGO BIOLÓGICO.</t>
  </si>
  <si>
    <t xml:space="preserve">RADIACIONES NO IONIZANTES, ELECTROMAGNETICAS (USO DE  COMPUTADOR)</t>
  </si>
  <si>
    <t xml:space="preserve">FÍSICO - RADIACIONES NO IONIZANTES (LASER, ULTRAVIOLETA, INFRARROJA, RADIOFRECUENCIA, MICROONDAS)</t>
  </si>
  <si>
    <t xml:space="preserve">CANSANCIO Y/O Y ALTERACIONES VISUALES.</t>
  </si>
  <si>
    <t xml:space="preserve">FOMENTAR EL AUTOCUIDADO. CONTINUAR PROGRAMA DE MEDICINA PREVENTIVA Y DEL TRABAJO REALIZANDO EXÁMENES PERIÓDICOS. REALIZAR PAUSAS ACTIVAS.</t>
  </si>
  <si>
    <t xml:space="preserve">CONTENIDO DE LA TAREA MONOTONIA.</t>
  </si>
  <si>
    <t xml:space="preserve">LABORES ADMINISTRATIVAS EN LOS PUESTOS DE TRABAJO </t>
  </si>
  <si>
    <t xml:space="preserve">POSTURAS PROLONGADAS SEDENTARISMO EN TAREAS DE OFICINA</t>
  </si>
  <si>
    <t xml:space="preserve">LESIONES OSTEOMUSCULARES – TRAUMAS ACUMULATIVOS, LUMBALGIAS, ESPASMOS, ALTERACIONES EN LA CIRCULACIÓN DE LA SANGRE.</t>
  </si>
  <si>
    <t xml:space="preserve">PUESTOS ERGONÓMICOS (ESCRITORIO, VIDEOTERMINALES,SILLA)</t>
  </si>
  <si>
    <t xml:space="preserve">ALTERACIONES  OSTEOMUSCULARES,FATIGA MUSCULAR, LESIONES EN ARTICULACIONES Y TENDONES ENTRE OTROS.</t>
  </si>
  <si>
    <t xml:space="preserve">EQUIPOS ERGONÓMICOS</t>
  </si>
  <si>
    <t xml:space="preserve">CAPACITACIONES DE AUTOCUIDADO, PAUSAS ACTIVAS, MOVIMIENTOS DE MIEMBROS SUPERIORES</t>
  </si>
  <si>
    <t xml:space="preserve">DIGITAR EN EL COMPUTADOR Y MOVILIZAR EL MOUSE EL 90&amp; DE LA JORNADA LABORAL</t>
  </si>
  <si>
    <t xml:space="preserve">Ergonómico-Movimientos repetitivos</t>
  </si>
  <si>
    <t xml:space="preserve">TUNEL DEL CARPO</t>
  </si>
  <si>
    <t xml:space="preserve">USO DE HERRAMIENTAS O EQUIPOS DE OFICINA</t>
  </si>
  <si>
    <t xml:space="preserve">MECANICO</t>
  </si>
  <si>
    <t xml:space="preserve">MANIPULACIÓN DE GANCHOS LEGAJADORES, GRAPADORA, TIJERAS, PERFORADORAS</t>
  </si>
  <si>
    <t xml:space="preserve">LESIONES EN TEJIDOS BLANDOS: HERIDAS, CORTADURAS.</t>
  </si>
  <si>
    <t xml:space="preserve">III</t>
  </si>
  <si>
    <t xml:space="preserve">CAPACITAR EN MANEJO SEGURO DE HERRAMIENTAS MANUALES EN LA OFICINA.</t>
  </si>
  <si>
    <t xml:space="preserve">CABLEADO EXPUESTO, TECLADOS, MONITORES, MOUSE.
CABLEADO POR FUERA DE CANALETAS.</t>
  </si>
  <si>
    <t xml:space="preserve">ORGANIZACIÓN DE CABLES EN CANALETA, ESPIRALES ENTRE OTROS</t>
  </si>
  <si>
    <t xml:space="preserve">CAMPAÑAS DE ORDEN Y ASEO </t>
  </si>
  <si>
    <t xml:space="preserve">USO DE LAS ESCALERAS (A DIARIO Y EN CASO DE EMERGENCIA)</t>
  </si>
  <si>
    <t xml:space="preserve">EXPOSICIÓN A CAIDAS POR EL USO DE LAS ESCALERAS DIRARIAMENTE</t>
  </si>
  <si>
    <t xml:space="preserve">CAÍDAS Y RESBALONES</t>
  </si>
  <si>
    <t xml:space="preserve">REALIZAR INSPECCIONES LOCATIVAS  PERÍODICAS EN  LAS INSTALACIONES DE LA ORGANIZACIÓN Y SENSIBILIZAR AL PERSONAL PARA TENER PRECACUCIÓN AL SUBIR O BAJAR ESCALERAS</t>
  </si>
  <si>
    <t xml:space="preserve">EMERGENCIAS </t>
  </si>
  <si>
    <t xml:space="preserve">SISMOS, TERREMOTOS, INCENDIOS, EXPLOSIONES</t>
  </si>
  <si>
    <t xml:space="preserve">NATURALES</t>
  </si>
  <si>
    <t xml:space="preserve">SISMO. PRECIPITACIONES (LLUVIAS TORRENCIALES Y TORMENTAS ELÉCTRICAS) (NIVEL DE TORMENTA II Y III).</t>
  </si>
  <si>
    <t xml:space="preserve">CONTUSIONES, LESIONES, HERIDAS, MUERTE.</t>
  </si>
  <si>
    <t xml:space="preserve">HACER INDUCCIÓN Y RE INDUCCIÓN AL PERSONAL EN PLANES DE CONTINGENCIA Y REALIZAR UN PROCESO DE REENTRENAMIENTO CON LA PERIODICIDAD QUE LA EMPRESA DETERMINE DE ACUERDO A LA ROTACIÓN DE PERSONAL. CAPACITACIÓN DE QUE HACER EN CASO DE EMERGENCIA, PLAN DE EMERGENCIAS.</t>
  </si>
  <si>
    <t xml:space="preserve">EXPOSICIÓN Y CONTACTO CON VIRUS (COVID-19)</t>
  </si>
  <si>
    <t xml:space="preserve">VIRUS (PANDEMIA)</t>
  </si>
  <si>
    <t xml:space="preserve">PROCESOS INFECCIOSOS, TÓXICOS O ALÉRGICOS, GASTROENTERITIS, FIEBRE, DOLOR DE CABEZA, VOMITOS, GRIPES, INFECCIONES RESPIRATORIAS, FALTA DE OLFATO, GUSTO, DIFICULTAD PARA RESPIRAR Y MUERTE.</t>
  </si>
  <si>
    <t xml:space="preserve">CAPACITAR A LOS TRABAJADORES EN LOS PROTOCOLOS DE BIOSEGURIDAD, LAVADO DE MANOS, USO DE TAPABOCAS, DISTANCIAMIENO SOCIAL</t>
  </si>
  <si>
    <t xml:space="preserve">EQUIPOS DE PROTECCIÓN PERSONAL (TAPABOCAS, GUANTES, CARETA, UNIFORME ENTERIZO)</t>
  </si>
  <si>
    <t xml:space="preserve">RIESGOS ASOCIADOS A LA VENCIDAD</t>
  </si>
  <si>
    <t xml:space="preserve">ROBOS, ATRACOS, SECUESTROS, ASONADAS, DELINCUENCIA COMÚN.</t>
  </si>
  <si>
    <t xml:space="preserve">SEGURIDAD - PÚBLICO</t>
  </si>
  <si>
    <t xml:space="preserve">ROBOS, ATRACOS, ASALTOS, ATENTADOS, DE ORDEN PÚBLICO, ETC.</t>
  </si>
  <si>
    <t xml:space="preserve">ESTRÉS, INCERTIDUMBRE. HERIDAS, AMENAZAS, LESIONES.</t>
  </si>
  <si>
    <t xml:space="preserve">PROPIETARIOS, AREA ADMISNITRATIVA, CONTRATISAS</t>
  </si>
  <si>
    <t xml:space="preserve">CAPACITAR AL PERSONAL EN MANEJO DE SITUACIONES COMO ROBOS, ATRACOS, EXTORCIONES, ETC., AUTO CUIDADO, MANEJO DE EL ESTRÉS.</t>
  </si>
  <si>
    <t xml:space="preserve">LOCATIVO, SUPERFICIES DE TRABAJO, ESCALERAS, SUPERFICIES HUMEDAS, OBTACULOS DE CIRCULACIÓN </t>
  </si>
  <si>
    <t xml:space="preserve">VISITANTE</t>
  </si>
  <si>
    <t xml:space="preserve">TRAER FACTURAS, COTIZACIONES, INSUMOS Y DEMÁS.</t>
  </si>
  <si>
    <t xml:space="preserve">PRESENTACIÓN DE SITUACIONES DE EMERGENCIA MIENTRAS SE ENCUENTRAN EN LAS INSTALACIONES, COMO LO SON AMENAZAS O TERRORISMO</t>
  </si>
  <si>
    <t xml:space="preserve">CONTUSIONES, HERIDAS, MUERTE.</t>
  </si>
  <si>
    <t xml:space="preserve">HACER INDUCCIÓN Y REINDUCCIÓN AL PERSONAL EN PLANES DE CONTINGENCIA Y REALIZAR UN PROCESO DE REENTRENAMIENTO CON LA PERIODICIDAD QUE LA EMPRESA DETERMINE DE ACUERDO A LA ROTACIÓN DE PERSONAL.</t>
  </si>
  <si>
    <t xml:space="preserve">FENÓMENOS NATURALES</t>
  </si>
  <si>
    <t xml:space="preserve">NATURALES-SISMO Y TERREMOTO, PRECIPITACIONES</t>
  </si>
  <si>
    <t xml:space="preserve">DESPLAZAMIENTO POR LAS INSTALACIONES DE LA COMPAÑÍA</t>
  </si>
  <si>
    <t xml:space="preserve">VISITA A LAS INSTALACIONES, RECORRIDOS POR LAS DIFERENTES ÁREAS.</t>
  </si>
  <si>
    <t xml:space="preserve">CAÍDAS A NIVEL, CAÍDAS A DIFERENTES NIVELES, </t>
  </si>
  <si>
    <t xml:space="preserve">NO OBSERVADO</t>
  </si>
  <si>
    <t xml:space="preserve">FOLLETO CON LOS RIESGOS A LOS QUE ESTA EXPUESTO</t>
  </si>
  <si>
    <t xml:space="preserve">VISITA</t>
  </si>
  <si>
    <t xml:space="preserve">ESTRÉS.  INCERTIDUMBRE.  .  HERIDAS, AMENAZAS, LESIONES</t>
  </si>
  <si>
    <t xml:space="preserve">INGRESO A CUARTO DE BOMBAS</t>
  </si>
  <si>
    <t xml:space="preserve">OPERACIÓN Y REVISIÓN DE BOMBAS DE AGUA</t>
  </si>
  <si>
    <t xml:space="preserve">CONDICIONES DE SEGURIDAD - LOCATIVO / ELÉCTRICO</t>
  </si>
  <si>
    <t xml:space="preserve">ESPACIO CONFINADO CON EQUIPOS ELÉCTRICOS Y HUMEDAD PERMANENTE</t>
  </si>
  <si>
    <t xml:space="preserve">ELECTROCUCIÓN, CAÍDAS, ATRAPAMIENTO, ASFIXIA POR ESPACIO CONFINADO</t>
  </si>
  <si>
    <t xml:space="preserve">PERSONAL DE MANTENIMIENTO EXTERNO (OCASIONAL)</t>
  </si>
  <si>
    <t xml:space="preserve">SEÑALIZAR ESPACIO CONFINADO, VENTILACIÓN ADECUADA, ILUMINACIÓN</t>
  </si>
  <si>
    <t xml:space="preserve">RESTRINGIR INGRESO A PERSONAL NO AUTORIZADO, PROCEDIMIENTO SEGURO DE INGRESO A ESPACIOS CONFINADOS</t>
  </si>
  <si>
    <t xml:space="preserve">GUANTES DIELÉCTRICOS, BOTAS AISLANTES SI APLICA</t>
  </si>
  <si>
    <t xml:space="preserve">Validado en campo: solo ingresa personal de mantenimiento externo cuando hay daño, no el conserje de forma rutinaria</t>
  </si>
  <si>
    <t xml:space="preserve">USO DE ASCENSOR</t>
  </si>
  <si>
    <t xml:space="preserve">DESPLAZAMIENTO EN ASCENSOR DE PERSONAS</t>
  </si>
  <si>
    <t xml:space="preserve">MECÁNICO / CONDICIONES DE SEGURIDAD</t>
  </si>
  <si>
    <t xml:space="preserve">FALLA MECÁNICA O ELÉCTRICA DEL EQUIPO DE TRANSPORTE VERTICAL</t>
  </si>
  <si>
    <t xml:space="preserve">ATRAPAMIENTO, CAÍDA A DISTINTO NIVEL, GOLPES</t>
  </si>
  <si>
    <t xml:space="preserve">CONTRATO DE MANTENIMIENTO MENSUAL</t>
  </si>
  <si>
    <t xml:space="preserve">RESIDENTES, VISITANTES, PERSONAL CONTRATISTA</t>
  </si>
  <si>
    <t xml:space="preserve">CERTIFICACIÓN ANUAL DE OPERATIVIDAD (NTC 5926-1) POR ENTE ACREDITADO ONAC</t>
  </si>
  <si>
    <t xml:space="preserve">SEÑALIZACIÓN DE CAPACIDAD MÁXIMA Y PROCEDIMIENTO EN CASO DE FALLA</t>
  </si>
  <si>
    <t xml:space="preserve">Validado en campo: sin antecedentes de atrapamiento u otro incidente</t>
  </si>
  <si>
    <t xml:space="preserve">USO DE ASCENSOR VEHICULAR</t>
  </si>
  <si>
    <t xml:space="preserve">TRASLADO DE VEHÍCULOS ENTRE PISOS/SÓTANOS</t>
  </si>
  <si>
    <t xml:space="preserve">FALLA MECÁNICA DEL EQUIPO DE ELEVACIÓN VEHICULAR</t>
  </si>
  <si>
    <t xml:space="preserve">ATRAPAMIENTO, CAÍDA DE VEHÍCULO, GOLPES</t>
  </si>
  <si>
    <t xml:space="preserve">CONTRATO DE MANTENIMIENTO</t>
  </si>
  <si>
    <t xml:space="preserve">CERTIFICACIÓN TÉCNICA PERIÓDICA DEL EQUIPO</t>
  </si>
  <si>
    <t xml:space="preserve">SEÑALIZACIÓN DE USO EXCLUSIVO AUTORIZADO</t>
  </si>
  <si>
    <t xml:space="preserve">PENDIENTE VALIDAR EN CAMPO (ND/NE estimados sin visita)</t>
  </si>
  <si>
    <t xml:space="preserve">CIRCULACIÓN EN PARQUEADERO SUBTERRÁNEO</t>
  </si>
  <si>
    <t xml:space="preserve">TRÁNSITO PEATONAL Y VEHICULAR EN SÓTANO</t>
  </si>
  <si>
    <t xml:space="preserve">CONDICIONES DE SEGURIDAD / QUÍMICO</t>
  </si>
  <si>
    <t xml:space="preserve">GASES DE COMBUSTIÓN EN ESPACIO CERRADO, TRÁNSITO VEHICULAR</t>
  </si>
  <si>
    <t xml:space="preserve">INTOXICACIÓN POR MONÓXIDO DE CARBONO, ATROPELLAMIENTO</t>
  </si>
  <si>
    <t xml:space="preserve">CUENTA CON EXTRACTORES MECÁNICOS Y VENTILACIÓN NATURAL</t>
  </si>
  <si>
    <t xml:space="preserve">VENTILACIÓN MECÁNICA O NATURAL ADECUADA DEL SÓTANO</t>
  </si>
  <si>
    <t xml:space="preserve">SEÑALIZACIÓN DE VELOCIDAD MÁXIMA Y SENTIDO DE CIRCULACIÓN, ESPEJOS EN CURVAS</t>
  </si>
  <si>
    <t xml:space="preserve">Validado en campo: sótano cuenta con ventilación mecánica (extractores) y natural</t>
  </si>
  <si>
    <t xml:space="preserve">USO DE ZONA BBQ EN AZOTEA</t>
  </si>
  <si>
    <t xml:space="preserve">OPERACIÓN DE ASADOR A GAS EN TERRAZA</t>
  </si>
  <si>
    <t xml:space="preserve">QUÍMICO / CONDICIONES DE SEGURIDAD</t>
  </si>
  <si>
    <t xml:space="preserve">USO DE CILINDRO/RED DE GAS Y FUENTE DE CALOR EN ALTURA</t>
  </si>
  <si>
    <t xml:space="preserve">QUEMADURAS, INCENDIO, EXPLOSIÓN, INTOXICACIÓN POR MONÓXIDO</t>
  </si>
  <si>
    <t xml:space="preserve">VALLAS DE PROTECCIÓN PERIMETRAL EN TERRAZA</t>
  </si>
  <si>
    <t xml:space="preserve">RESIDENTES, VISITANTES</t>
  </si>
  <si>
    <t xml:space="preserve">REVISIÓN PERIÓDICA DE INSTALACIÓN DE GAS DEL ASADOR</t>
  </si>
  <si>
    <t xml:space="preserve">SEÑALIZACIÓN DE USO SEGURO Y PROHIBICIONES, REGLAMENTO DE USO DE ZONA BBQ</t>
  </si>
  <si>
    <t xml:space="preserve">EXTINTOR PORTÁTIL DISPONIBLE EN LA ZONA</t>
  </si>
  <si>
    <t xml:space="preserve">Validado en campo: NO existe reglamento de uso de la zona BBQ — pendiente elaborarlo y publicarlo</t>
  </si>
  <si>
    <t xml:space="preserve">FECHA DE ELABORACIÓN</t>
  </si>
  <si>
    <t xml:space="preserve">diciembre de 2023</t>
  </si>
  <si>
    <t xml:space="preserve">QUIEN ELABORÓ</t>
  </si>
  <si>
    <t xml:space="preserve">Camilo Cano</t>
  </si>
  <si>
    <t xml:space="preserve">FECHA DE ACTUALIZACIÓN</t>
  </si>
  <si>
    <t xml:space="preserve">agosto de 2026</t>
  </si>
  <si>
    <t xml:space="preserve">QUIEN ACTUALIZÓ</t>
  </si>
  <si>
    <t xml:space="preserve">Carla Castellano Madriz — C.E. 679955</t>
  </si>
</sst>
</file>

<file path=xl/styles.xml><?xml version="1.0" encoding="utf-8"?>
<styleSheet xmlns="http://schemas.openxmlformats.org/spreadsheetml/2006/main">
  <numFmts count="4">
    <numFmt numFmtId="164" formatCode="General"/>
    <numFmt numFmtId="165" formatCode="General"/>
    <numFmt numFmtId="166" formatCode="0%"/>
    <numFmt numFmtId="167" formatCode="m/d/yyyy"/>
  </numFmts>
  <fonts count="18">
    <font>
      <sz val="11"/>
      <color theme="1"/>
      <name val="Calibri"/>
      <family val="2"/>
      <charset val="1"/>
    </font>
    <font>
      <sz val="10"/>
      <name val="Arial"/>
      <family val="0"/>
    </font>
    <font>
      <sz val="10"/>
      <name val="Arial"/>
      <family val="0"/>
    </font>
    <font>
      <sz val="10"/>
      <name val="Arial"/>
      <family val="0"/>
    </font>
    <font>
      <sz val="10"/>
      <name val="Arial"/>
      <family val="2"/>
      <charset val="1"/>
    </font>
    <font>
      <sz val="11"/>
      <color rgb="FF000000"/>
      <name val="Calibri"/>
      <family val="2"/>
      <charset val="1"/>
    </font>
    <font>
      <b val="true"/>
      <sz val="22"/>
      <name val="Century Gothic"/>
      <family val="2"/>
      <charset val="1"/>
    </font>
    <font>
      <sz val="11"/>
      <color theme="1"/>
      <name val="Century Gothic"/>
      <family val="2"/>
      <charset val="1"/>
    </font>
    <font>
      <sz val="11"/>
      <name val="Century Gothic"/>
      <family val="2"/>
      <charset val="1"/>
    </font>
    <font>
      <b val="true"/>
      <sz val="11"/>
      <name val="Century Gothic"/>
      <family val="2"/>
      <charset val="1"/>
    </font>
    <font>
      <b val="true"/>
      <sz val="11"/>
      <color theme="0"/>
      <name val="Century Gothic"/>
      <family val="2"/>
      <charset val="1"/>
    </font>
    <font>
      <sz val="11"/>
      <color theme="0"/>
      <name val="Century Gothic"/>
      <family val="2"/>
      <charset val="1"/>
    </font>
    <font>
      <b val="true"/>
      <sz val="11"/>
      <color theme="1"/>
      <name val="Century Gothic"/>
      <family val="2"/>
      <charset val="1"/>
    </font>
    <font>
      <sz val="12"/>
      <name val="Arial"/>
      <family val="2"/>
      <charset val="1"/>
    </font>
    <font>
      <sz val="12"/>
      <color theme="1"/>
      <name val="Arial"/>
      <family val="2"/>
      <charset val="1"/>
    </font>
    <font>
      <sz val="8"/>
      <name val="Arial"/>
      <family val="2"/>
      <charset val="1"/>
    </font>
    <font>
      <sz val="11"/>
      <name val="Arial"/>
      <family val="2"/>
      <charset val="1"/>
    </font>
    <font>
      <sz val="10"/>
      <color rgb="FF000000"/>
      <name val="Arial"/>
      <family val="2"/>
      <charset val="1"/>
    </font>
  </fonts>
  <fills count="7">
    <fill>
      <patternFill patternType="none"/>
    </fill>
    <fill>
      <patternFill patternType="gray125"/>
    </fill>
    <fill>
      <patternFill patternType="solid">
        <fgColor theme="0"/>
        <bgColor rgb="FFFFFFCC"/>
      </patternFill>
    </fill>
    <fill>
      <patternFill patternType="solid">
        <fgColor rgb="FF0070C0"/>
        <bgColor rgb="FF008080"/>
      </patternFill>
    </fill>
    <fill>
      <patternFill patternType="solid">
        <fgColor theme="0" tint="-0.5"/>
        <bgColor rgb="FF969696"/>
      </patternFill>
    </fill>
    <fill>
      <patternFill patternType="solid">
        <fgColor rgb="FFFFFF00"/>
        <bgColor rgb="FFFFFF00"/>
      </patternFill>
    </fill>
    <fill>
      <patternFill patternType="solid">
        <fgColor rgb="FF008000"/>
        <bgColor rgb="FF008080"/>
      </patternFill>
    </fill>
  </fills>
  <borders count="6">
    <border diagonalUp="false" diagonalDown="false">
      <left/>
      <right/>
      <top/>
      <bottom/>
      <diagonal/>
    </border>
    <border diagonalUp="false" diagonalDown="false">
      <left style="thin"/>
      <right style="thin"/>
      <top style="thin"/>
      <bottom style="thin"/>
      <diagonal/>
    </border>
    <border diagonalUp="false" diagonalDown="false">
      <left style="thin"/>
      <right style="thin"/>
      <top style="thin"/>
      <bottom/>
      <diagonal/>
    </border>
    <border diagonalUp="false" diagonalDown="false">
      <left/>
      <right/>
      <top style="thin"/>
      <bottom style="thin"/>
      <diagonal/>
    </border>
    <border diagonalUp="false" diagonalDown="false">
      <left style="thin"/>
      <right style="thin"/>
      <top/>
      <bottom/>
      <diagonal/>
    </border>
    <border diagonalUp="false" diagonalDown="false">
      <left style="thin"/>
      <right style="thin"/>
      <top/>
      <bottom style="thin"/>
      <diagonal/>
    </border>
  </borders>
  <cellStyleXfs count="25">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xf numFmtId="164" fontId="4" fillId="0" borderId="0" applyFont="true" applyBorder="true" applyAlignment="true" applyProtection="true">
      <alignment horizontal="general" vertical="bottom" textRotation="0" wrapText="false" indent="0" shrinkToFit="false"/>
      <protection locked="true" hidden="false"/>
    </xf>
    <xf numFmtId="164" fontId="4" fillId="0" borderId="0" applyFont="true" applyBorder="true" applyAlignment="true" applyProtection="true">
      <alignment horizontal="general" vertical="bottom" textRotation="0" wrapText="false" indent="0" shrinkToFit="false"/>
      <protection locked="true" hidden="false"/>
    </xf>
    <xf numFmtId="164" fontId="0"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4" fillId="0" borderId="0" applyFont="true" applyBorder="true" applyAlignment="true" applyProtection="true">
      <alignment horizontal="general" vertical="bottom" textRotation="0" wrapText="false" indent="0" shrinkToFit="false"/>
      <protection locked="true" hidden="false"/>
    </xf>
  </cellStyleXfs>
  <cellXfs count="80">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general" vertical="bottom" textRotation="0" wrapText="false" indent="0" shrinkToFit="false"/>
      <protection locked="true" hidden="false"/>
    </xf>
    <xf numFmtId="164" fontId="6" fillId="2" borderId="1" xfId="0" applyFont="true" applyBorder="true" applyAlignment="true" applyProtection="false">
      <alignment horizontal="center" vertical="center" textRotation="0" wrapText="true" indent="0" shrinkToFit="false"/>
      <protection locked="true" hidden="false"/>
    </xf>
    <xf numFmtId="164" fontId="7" fillId="2" borderId="0" xfId="0" applyFont="true" applyBorder="false" applyAlignment="true" applyProtection="false">
      <alignment horizontal="general" vertical="bottom" textRotation="0" wrapText="false" indent="0" shrinkToFit="false"/>
      <protection locked="true" hidden="false"/>
    </xf>
    <xf numFmtId="164" fontId="8" fillId="2" borderId="0" xfId="0" applyFont="true" applyBorder="false" applyAlignment="true" applyProtection="false">
      <alignment horizontal="general" vertical="center" textRotation="0" wrapText="false" indent="0" shrinkToFit="false"/>
      <protection locked="true" hidden="false"/>
    </xf>
    <xf numFmtId="164" fontId="8" fillId="2" borderId="0" xfId="0" applyFont="true" applyBorder="false" applyAlignment="true" applyProtection="false">
      <alignment horizontal="center" vertical="center" textRotation="0" wrapText="false" indent="0" shrinkToFit="false"/>
      <protection locked="true" hidden="false"/>
    </xf>
    <xf numFmtId="164" fontId="9" fillId="2" borderId="0" xfId="0" applyFont="true" applyBorder="false" applyAlignment="true" applyProtection="false">
      <alignment horizontal="general" vertical="center" textRotation="0" wrapText="false" indent="0" shrinkToFit="false"/>
      <protection locked="true" hidden="false"/>
    </xf>
    <xf numFmtId="164" fontId="9" fillId="2" borderId="0" xfId="0" applyFont="true" applyBorder="false" applyAlignment="true" applyProtection="false">
      <alignment horizontal="center" vertical="center" textRotation="0" wrapText="false" indent="0" shrinkToFit="false"/>
      <protection locked="true" hidden="false"/>
    </xf>
    <xf numFmtId="164" fontId="9" fillId="2" borderId="0" xfId="0" applyFont="true" applyBorder="false" applyAlignment="true" applyProtection="false">
      <alignment horizontal="general" vertical="center" textRotation="0" wrapText="true" indent="0" shrinkToFit="false"/>
      <protection locked="true" hidden="false"/>
    </xf>
    <xf numFmtId="164" fontId="9" fillId="2" borderId="0" xfId="0" applyFont="true" applyBorder="false" applyAlignment="true" applyProtection="false">
      <alignment horizontal="center" vertical="center" textRotation="0" wrapText="true" indent="0" shrinkToFit="false"/>
      <protection locked="true" hidden="false"/>
    </xf>
    <xf numFmtId="164" fontId="10" fillId="3" borderId="1" xfId="0" applyFont="true" applyBorder="true" applyAlignment="true" applyProtection="false">
      <alignment horizontal="center" vertical="center" textRotation="0" wrapText="false" indent="0" shrinkToFit="false"/>
      <protection locked="true" hidden="false"/>
    </xf>
    <xf numFmtId="164" fontId="10" fillId="4" borderId="1" xfId="0" applyFont="true" applyBorder="true" applyAlignment="true" applyProtection="false">
      <alignment horizontal="center" vertical="center" textRotation="0" wrapText="true" indent="0" shrinkToFit="false"/>
      <protection locked="true" hidden="false"/>
    </xf>
    <xf numFmtId="164" fontId="9" fillId="3" borderId="1" xfId="0" applyFont="true" applyBorder="true" applyAlignment="true" applyProtection="false">
      <alignment horizontal="center" vertical="center" textRotation="0" wrapText="true" indent="0" shrinkToFit="false"/>
      <protection locked="true" hidden="false"/>
    </xf>
    <xf numFmtId="165" fontId="11" fillId="2" borderId="0" xfId="0" applyFont="true" applyBorder="false" applyAlignment="true" applyProtection="false">
      <alignment horizontal="general" vertical="bottom" textRotation="0" wrapText="false" indent="0" shrinkToFit="false"/>
      <protection locked="true" hidden="false"/>
    </xf>
    <xf numFmtId="164" fontId="10" fillId="4" borderId="1" xfId="0" applyFont="true" applyBorder="true" applyAlignment="true" applyProtection="false">
      <alignment horizontal="center" vertical="center" textRotation="0" wrapText="false" indent="0" shrinkToFit="false"/>
      <protection locked="true" hidden="false"/>
    </xf>
    <xf numFmtId="164" fontId="11" fillId="4" borderId="1" xfId="0" applyFont="true" applyBorder="true" applyAlignment="true" applyProtection="false">
      <alignment horizontal="center" vertical="center" textRotation="0" wrapText="true" indent="0" shrinkToFit="false"/>
      <protection locked="true" hidden="false"/>
    </xf>
    <xf numFmtId="164" fontId="11" fillId="4" borderId="1" xfId="0" applyFont="true" applyBorder="true" applyAlignment="true" applyProtection="false">
      <alignment horizontal="center" vertical="center" textRotation="90" wrapText="true" indent="0" shrinkToFit="false"/>
      <protection locked="true" hidden="false"/>
    </xf>
    <xf numFmtId="164" fontId="12" fillId="4" borderId="1" xfId="0" applyFont="true" applyBorder="true" applyAlignment="true" applyProtection="false">
      <alignment horizontal="center" vertical="center" textRotation="90" wrapText="true" indent="0" shrinkToFit="false"/>
      <protection locked="true" hidden="false"/>
    </xf>
    <xf numFmtId="164" fontId="10" fillId="4" borderId="1" xfId="0" applyFont="true" applyBorder="true" applyAlignment="true" applyProtection="false">
      <alignment horizontal="center" vertical="center" textRotation="90" wrapText="true" indent="0" shrinkToFit="false"/>
      <protection locked="true" hidden="false"/>
    </xf>
    <xf numFmtId="164" fontId="11" fillId="4" borderId="2" xfId="0" applyFont="true" applyBorder="true" applyAlignment="true" applyProtection="false">
      <alignment horizontal="center" vertical="center" textRotation="90" wrapText="true" indent="0" shrinkToFit="false"/>
      <protection locked="true" hidden="false"/>
    </xf>
    <xf numFmtId="164" fontId="7" fillId="0" borderId="3" xfId="0" applyFont="true" applyBorder="true" applyAlignment="true" applyProtection="true">
      <alignment horizontal="center" vertical="center" textRotation="90" wrapText="false" indent="0" shrinkToFit="false"/>
      <protection locked="false" hidden="false"/>
    </xf>
    <xf numFmtId="164" fontId="7" fillId="0" borderId="2" xfId="0" applyFont="true" applyBorder="true" applyAlignment="true" applyProtection="true">
      <alignment horizontal="center" vertical="center" textRotation="0" wrapText="true" indent="0" shrinkToFit="false"/>
      <protection locked="false" hidden="false"/>
    </xf>
    <xf numFmtId="164" fontId="7" fillId="2" borderId="1" xfId="0" applyFont="true" applyBorder="true" applyAlignment="true" applyProtection="true">
      <alignment horizontal="center" vertical="center" textRotation="0" wrapText="true" indent="0" shrinkToFit="false"/>
      <protection locked="false" hidden="false"/>
    </xf>
    <xf numFmtId="164" fontId="8" fillId="2" borderId="1" xfId="0" applyFont="true" applyBorder="true" applyAlignment="true" applyProtection="true">
      <alignment horizontal="center" vertical="center" textRotation="0" wrapText="true" indent="0" shrinkToFit="false"/>
      <protection locked="false" hidden="false"/>
    </xf>
    <xf numFmtId="164" fontId="7" fillId="2" borderId="0" xfId="0" applyFont="true" applyBorder="false" applyAlignment="true" applyProtection="true">
      <alignment horizontal="center" vertical="center" textRotation="0" wrapText="false" indent="0" shrinkToFit="false"/>
      <protection locked="false" hidden="false"/>
    </xf>
    <xf numFmtId="164" fontId="8" fillId="2" borderId="1" xfId="0" applyFont="true" applyBorder="true" applyAlignment="true" applyProtection="true">
      <alignment horizontal="center" vertical="center" textRotation="0" wrapText="false" indent="0" shrinkToFit="false"/>
      <protection locked="false" hidden="false"/>
    </xf>
    <xf numFmtId="164" fontId="8" fillId="5" borderId="1" xfId="0" applyFont="true" applyBorder="true" applyAlignment="true" applyProtection="true">
      <alignment horizontal="center" vertical="center" textRotation="0" wrapText="true" indent="0" shrinkToFit="false"/>
      <protection locked="false" hidden="false"/>
    </xf>
    <xf numFmtId="164" fontId="8" fillId="0" borderId="1" xfId="0" applyFont="true" applyBorder="true" applyAlignment="true" applyProtection="true">
      <alignment horizontal="center" vertical="center" textRotation="0" wrapText="true" indent="0" shrinkToFit="false"/>
      <protection locked="false" hidden="false"/>
    </xf>
    <xf numFmtId="164" fontId="7" fillId="2" borderId="1" xfId="0" applyFont="true" applyBorder="true" applyAlignment="true" applyProtection="true">
      <alignment horizontal="center" vertical="center" textRotation="0" wrapText="false" indent="0" shrinkToFit="false"/>
      <protection locked="false" hidden="false"/>
    </xf>
    <xf numFmtId="164" fontId="8" fillId="0" borderId="2" xfId="0" applyFont="true" applyBorder="true" applyAlignment="true" applyProtection="true">
      <alignment horizontal="center" vertical="center" textRotation="0" wrapText="true" indent="0" shrinkToFit="false"/>
      <protection locked="false" hidden="false"/>
    </xf>
    <xf numFmtId="164" fontId="7" fillId="0" borderId="0" xfId="0" applyFont="true" applyBorder="false" applyAlignment="true" applyProtection="true">
      <alignment horizontal="center" vertical="center" textRotation="0" wrapText="false" indent="0" shrinkToFit="false"/>
      <protection locked="false" hidden="false"/>
    </xf>
    <xf numFmtId="164" fontId="8" fillId="2" borderId="2" xfId="0" applyFont="true" applyBorder="true" applyAlignment="true" applyProtection="true">
      <alignment horizontal="center" vertical="center" textRotation="0" wrapText="true" indent="0" shrinkToFit="false"/>
      <protection locked="false" hidden="false"/>
    </xf>
    <xf numFmtId="166" fontId="8" fillId="0" borderId="2" xfId="0" applyFont="true" applyBorder="true" applyAlignment="true" applyProtection="true">
      <alignment horizontal="center" vertical="center" textRotation="0" wrapText="true" indent="0" shrinkToFit="false"/>
      <protection locked="false" hidden="false"/>
    </xf>
    <xf numFmtId="164" fontId="7" fillId="0" borderId="1" xfId="0" applyFont="true" applyBorder="true" applyAlignment="true" applyProtection="true">
      <alignment horizontal="general" vertical="bottom" textRotation="0" wrapText="false" indent="0" shrinkToFit="false"/>
      <protection locked="false" hidden="false"/>
    </xf>
    <xf numFmtId="164" fontId="7" fillId="0" borderId="0" xfId="0" applyFont="true" applyBorder="false" applyAlignment="true" applyProtection="true">
      <alignment horizontal="general" vertical="bottom" textRotation="0" wrapText="false" indent="0" shrinkToFit="false"/>
      <protection locked="false" hidden="false"/>
    </xf>
    <xf numFmtId="164" fontId="8" fillId="2" borderId="1" xfId="0" applyFont="true" applyBorder="true" applyAlignment="true" applyProtection="true">
      <alignment horizontal="center" vertical="center" textRotation="255" wrapText="true" indent="0" shrinkToFit="false"/>
      <protection locked="false" hidden="false"/>
    </xf>
    <xf numFmtId="164" fontId="7" fillId="0" borderId="1" xfId="0" applyFont="true" applyBorder="true" applyAlignment="true" applyProtection="true">
      <alignment horizontal="center" vertical="center" textRotation="0" wrapText="false" indent="0" shrinkToFit="false"/>
      <protection locked="false" hidden="false"/>
    </xf>
    <xf numFmtId="166" fontId="8" fillId="0" borderId="1" xfId="0" applyFont="true" applyBorder="true" applyAlignment="true" applyProtection="true">
      <alignment horizontal="center" vertical="center" textRotation="0" wrapText="true" indent="0" shrinkToFit="false"/>
      <protection locked="false" hidden="false"/>
    </xf>
    <xf numFmtId="164" fontId="7" fillId="2" borderId="4" xfId="0" applyFont="true" applyBorder="true" applyAlignment="true" applyProtection="true">
      <alignment horizontal="center" vertical="center" textRotation="0" wrapText="true" indent="0" shrinkToFit="false"/>
      <protection locked="false" hidden="false"/>
    </xf>
    <xf numFmtId="164" fontId="11" fillId="2" borderId="2" xfId="0" applyFont="true" applyBorder="true" applyAlignment="true" applyProtection="true">
      <alignment horizontal="center" vertical="center" textRotation="90" wrapText="true" indent="0" shrinkToFit="false"/>
      <protection locked="false" hidden="false"/>
    </xf>
    <xf numFmtId="164" fontId="11" fillId="2" borderId="1" xfId="0" applyFont="true" applyBorder="true" applyAlignment="true" applyProtection="true">
      <alignment horizontal="center" vertical="center" textRotation="90" wrapText="true" indent="0" shrinkToFit="false"/>
      <protection locked="false" hidden="false"/>
    </xf>
    <xf numFmtId="164" fontId="11" fillId="2" borderId="1" xfId="0" applyFont="true" applyBorder="true" applyAlignment="true" applyProtection="true">
      <alignment horizontal="center" vertical="center" textRotation="0" wrapText="true" indent="0" shrinkToFit="false"/>
      <protection locked="false" hidden="false"/>
    </xf>
    <xf numFmtId="164" fontId="7" fillId="2" borderId="0" xfId="0" applyFont="true" applyBorder="false" applyAlignment="true" applyProtection="true">
      <alignment horizontal="center" vertical="center" textRotation="0" wrapText="true" indent="0" shrinkToFit="false"/>
      <protection locked="false" hidden="false"/>
    </xf>
    <xf numFmtId="164" fontId="7" fillId="0" borderId="1" xfId="0" applyFont="true" applyBorder="true" applyAlignment="true" applyProtection="true">
      <alignment horizontal="center" vertical="center" textRotation="0" wrapText="true" indent="0" shrinkToFit="false"/>
      <protection locked="false" hidden="false"/>
    </xf>
    <xf numFmtId="164" fontId="13" fillId="2" borderId="1" xfId="0" applyFont="true" applyBorder="true" applyAlignment="true" applyProtection="true">
      <alignment horizontal="center" vertical="center" textRotation="0" wrapText="true" indent="0" shrinkToFit="false"/>
      <protection locked="false" hidden="false"/>
    </xf>
    <xf numFmtId="164" fontId="13" fillId="0" borderId="1" xfId="0" applyFont="true" applyBorder="true" applyAlignment="true" applyProtection="true">
      <alignment horizontal="center" vertical="center" textRotation="0" wrapText="true" indent="0" shrinkToFit="false"/>
      <protection locked="false" hidden="false"/>
    </xf>
    <xf numFmtId="164" fontId="4" fillId="2" borderId="1" xfId="0" applyFont="true" applyBorder="true" applyAlignment="true" applyProtection="true">
      <alignment horizontal="center" vertical="center" textRotation="0" wrapText="true" indent="0" shrinkToFit="false"/>
      <protection locked="false" hidden="false"/>
    </xf>
    <xf numFmtId="164" fontId="14" fillId="2" borderId="1" xfId="0" applyFont="true" applyBorder="true" applyAlignment="true" applyProtection="true">
      <alignment horizontal="center" vertical="center" textRotation="0" wrapText="false" indent="0" shrinkToFit="false"/>
      <protection locked="false" hidden="false"/>
    </xf>
    <xf numFmtId="164" fontId="0" fillId="0" borderId="1" xfId="0" applyFont="false" applyBorder="true" applyAlignment="true" applyProtection="true">
      <alignment horizontal="general" vertical="bottom" textRotation="0" wrapText="false" indent="0" shrinkToFit="false"/>
      <protection locked="false" hidden="false"/>
    </xf>
    <xf numFmtId="164" fontId="0" fillId="0" borderId="0" xfId="0" applyFont="false" applyBorder="false" applyAlignment="true" applyProtection="true">
      <alignment horizontal="general" vertical="bottom" textRotation="0" wrapText="false" indent="0" shrinkToFit="false"/>
      <protection locked="false" hidden="false"/>
    </xf>
    <xf numFmtId="164" fontId="7" fillId="2" borderId="5" xfId="0" applyFont="true" applyBorder="true" applyAlignment="true" applyProtection="true">
      <alignment horizontal="center" vertical="center" textRotation="0" wrapText="true" indent="0" shrinkToFit="false"/>
      <protection locked="false" hidden="false"/>
    </xf>
    <xf numFmtId="164" fontId="8" fillId="2" borderId="5" xfId="0" applyFont="true" applyBorder="true" applyAlignment="true" applyProtection="true">
      <alignment horizontal="center" vertical="center" textRotation="0" wrapText="true" indent="0" shrinkToFit="false"/>
      <protection locked="false" hidden="false"/>
    </xf>
    <xf numFmtId="164" fontId="8" fillId="5" borderId="5" xfId="0" applyFont="true" applyBorder="true" applyAlignment="true" applyProtection="true">
      <alignment horizontal="center" vertical="center" textRotation="0" wrapText="true" indent="0" shrinkToFit="false"/>
      <protection locked="false" hidden="false"/>
    </xf>
    <xf numFmtId="164" fontId="8" fillId="0" borderId="5" xfId="0" applyFont="true" applyBorder="true" applyAlignment="true" applyProtection="true">
      <alignment horizontal="center" vertical="center" textRotation="0" wrapText="true" indent="0" shrinkToFit="false"/>
      <protection locked="false" hidden="false"/>
    </xf>
    <xf numFmtId="164" fontId="7" fillId="0" borderId="5" xfId="0" applyFont="true" applyBorder="true" applyAlignment="true" applyProtection="true">
      <alignment horizontal="general" vertical="bottom" textRotation="0" wrapText="false" indent="0" shrinkToFit="false"/>
      <protection locked="false" hidden="false"/>
    </xf>
    <xf numFmtId="164" fontId="7" fillId="2" borderId="2" xfId="0" applyFont="true" applyBorder="true" applyAlignment="true" applyProtection="true">
      <alignment horizontal="center" vertical="center" textRotation="0" wrapText="true" indent="0" shrinkToFit="false"/>
      <protection locked="false" hidden="false"/>
    </xf>
    <xf numFmtId="164" fontId="15" fillId="6" borderId="1" xfId="0" applyFont="true" applyBorder="true" applyAlignment="true" applyProtection="true">
      <alignment horizontal="center" vertical="center" textRotation="0" wrapText="false" indent="0" shrinkToFit="false"/>
      <protection locked="false" hidden="false"/>
    </xf>
    <xf numFmtId="164" fontId="4" fillId="0" borderId="1" xfId="0" applyFont="true" applyBorder="true" applyAlignment="true" applyProtection="true">
      <alignment horizontal="center" vertical="center" textRotation="0" wrapText="true" indent="0" shrinkToFit="false"/>
      <protection locked="false" hidden="false"/>
    </xf>
    <xf numFmtId="164" fontId="7" fillId="2" borderId="1" xfId="0" applyFont="true" applyBorder="true" applyAlignment="true" applyProtection="true">
      <alignment horizontal="center" vertical="top" textRotation="0" wrapText="true" indent="0" shrinkToFit="false"/>
      <protection locked="false" hidden="false"/>
    </xf>
    <xf numFmtId="164" fontId="4" fillId="2" borderId="1" xfId="0" applyFont="true" applyBorder="true" applyAlignment="true" applyProtection="true">
      <alignment horizontal="center" vertical="center" textRotation="255" wrapText="true" indent="0" shrinkToFit="false"/>
      <protection locked="false" hidden="false"/>
    </xf>
    <xf numFmtId="164" fontId="13" fillId="5" borderId="1" xfId="0" applyFont="true" applyBorder="true" applyAlignment="true" applyProtection="true">
      <alignment horizontal="center" vertical="center" textRotation="0" wrapText="true" indent="0" shrinkToFit="false"/>
      <protection locked="false" hidden="false"/>
    </xf>
    <xf numFmtId="164" fontId="16" fillId="5" borderId="1" xfId="0" applyFont="true" applyBorder="true" applyAlignment="true" applyProtection="true">
      <alignment horizontal="center" vertical="center" textRotation="0" wrapText="true" indent="0" shrinkToFit="false"/>
      <protection locked="false" hidden="false"/>
    </xf>
    <xf numFmtId="164" fontId="17" fillId="2" borderId="1" xfId="0" applyFont="true" applyBorder="true" applyAlignment="true" applyProtection="true">
      <alignment horizontal="center" vertical="center" textRotation="0" wrapText="true" indent="0" shrinkToFit="false"/>
      <protection locked="false" hidden="false"/>
    </xf>
    <xf numFmtId="164" fontId="4" fillId="5" borderId="1" xfId="0" applyFont="true" applyBorder="true" applyAlignment="true" applyProtection="true">
      <alignment horizontal="center" vertical="center" textRotation="0" wrapText="true" indent="0" shrinkToFit="false"/>
      <protection locked="false" hidden="false"/>
    </xf>
    <xf numFmtId="164" fontId="7" fillId="0" borderId="0" xfId="0" applyFont="true" applyBorder="false" applyAlignment="true" applyProtection="true">
      <alignment horizontal="center" vertical="bottom" textRotation="0" wrapText="false" indent="0" shrinkToFit="false"/>
      <protection locked="false" hidden="false"/>
    </xf>
    <xf numFmtId="164" fontId="10" fillId="3" borderId="1" xfId="0" applyFont="true" applyBorder="true" applyAlignment="true" applyProtection="false">
      <alignment horizontal="center" vertical="center" textRotation="0" wrapText="true" indent="0" shrinkToFit="false"/>
      <protection locked="true" hidden="false"/>
    </xf>
    <xf numFmtId="167" fontId="8" fillId="2" borderId="1" xfId="0" applyFont="true" applyBorder="true" applyAlignment="true" applyProtection="false">
      <alignment horizontal="center" vertical="center" textRotation="0" wrapText="true" indent="0" shrinkToFit="false"/>
      <protection locked="true" hidden="false"/>
    </xf>
    <xf numFmtId="164" fontId="8" fillId="2" borderId="0" xfId="0" applyFont="true" applyBorder="false" applyAlignment="true" applyProtection="true">
      <alignment horizontal="center" vertical="center" textRotation="0" wrapText="false" indent="0" shrinkToFit="false"/>
      <protection locked="false" hidden="false"/>
    </xf>
    <xf numFmtId="164" fontId="8" fillId="2" borderId="0" xfId="0" applyFont="true" applyBorder="false" applyAlignment="true" applyProtection="true">
      <alignment horizontal="general" vertical="center" textRotation="0" wrapText="false" indent="0" shrinkToFit="false"/>
      <protection locked="false" hidden="false"/>
    </xf>
    <xf numFmtId="164" fontId="9" fillId="2" borderId="0" xfId="0" applyFont="true" applyBorder="false" applyAlignment="true" applyProtection="true">
      <alignment horizontal="general" vertical="center" textRotation="0" wrapText="true" indent="0" shrinkToFit="false"/>
      <protection locked="false" hidden="false"/>
    </xf>
    <xf numFmtId="164" fontId="9" fillId="2" borderId="0" xfId="0" applyFont="true" applyBorder="false" applyAlignment="true" applyProtection="true">
      <alignment horizontal="center" vertical="center" textRotation="0" wrapText="true" indent="0" shrinkToFit="false"/>
      <protection locked="false" hidden="false"/>
    </xf>
    <xf numFmtId="164" fontId="7" fillId="2" borderId="0" xfId="0" applyFont="true" applyBorder="false" applyAlignment="true" applyProtection="true">
      <alignment horizontal="general" vertical="bottom" textRotation="0" wrapText="false" indent="0" shrinkToFit="false"/>
      <protection locked="false" hidden="false"/>
    </xf>
    <xf numFmtId="164" fontId="8" fillId="2" borderId="1" xfId="0" applyFont="true" applyBorder="true" applyAlignment="true" applyProtection="false">
      <alignment horizontal="center" vertical="center" textRotation="0" wrapText="true" indent="0" shrinkToFit="false"/>
      <protection locked="true" hidden="false"/>
    </xf>
    <xf numFmtId="164" fontId="10" fillId="2" borderId="0" xfId="0" applyFont="true" applyBorder="false" applyAlignment="true" applyProtection="true">
      <alignment horizontal="general" vertical="center" textRotation="0" wrapText="true" indent="0" shrinkToFit="false"/>
      <protection locked="false" hidden="false"/>
    </xf>
    <xf numFmtId="164" fontId="8" fillId="2" borderId="0" xfId="0" applyFont="true" applyBorder="false" applyAlignment="true" applyProtection="true">
      <alignment horizontal="center" vertical="center" textRotation="0" wrapText="true" indent="0" shrinkToFit="false"/>
      <protection locked="false" hidden="false"/>
    </xf>
    <xf numFmtId="164" fontId="10" fillId="2" borderId="0" xfId="0" applyFont="true" applyBorder="false" applyAlignment="true" applyProtection="true">
      <alignment horizontal="center" vertical="center" textRotation="0" wrapText="true" indent="0" shrinkToFit="false"/>
      <protection locked="false" hidden="false"/>
    </xf>
    <xf numFmtId="167" fontId="8" fillId="2" borderId="0" xfId="0" applyFont="true" applyBorder="false" applyAlignment="true" applyProtection="true">
      <alignment horizontal="center" vertical="center" textRotation="0" wrapText="false" indent="0" shrinkToFit="false"/>
      <protection locked="false" hidden="false"/>
    </xf>
    <xf numFmtId="167" fontId="8" fillId="2" borderId="0" xfId="0" applyFont="true" applyBorder="false" applyAlignment="true" applyProtection="true">
      <alignment horizontal="general" vertical="center" textRotation="0" wrapText="false" indent="0" shrinkToFit="false"/>
      <protection locked="false" hidden="false"/>
    </xf>
    <xf numFmtId="164" fontId="10" fillId="3" borderId="1" xfId="0" applyFont="true" applyBorder="true" applyAlignment="true" applyProtection="true">
      <alignment horizontal="center" vertical="center" textRotation="0" wrapText="true" indent="0" shrinkToFit="false"/>
      <protection locked="false" hidden="false"/>
    </xf>
    <xf numFmtId="167" fontId="8" fillId="2" borderId="1" xfId="0" applyFont="true" applyBorder="true" applyAlignment="true" applyProtection="true">
      <alignment horizontal="center" vertical="center" textRotation="0" wrapText="true" indent="0" shrinkToFit="false"/>
      <protection locked="false" hidden="false"/>
    </xf>
  </cellXfs>
  <cellStyles count="11">
    <cellStyle name="Normal" xfId="0" builtinId="0"/>
    <cellStyle name="Comma" xfId="15" builtinId="3"/>
    <cellStyle name="Comma [0]" xfId="16" builtinId="6"/>
    <cellStyle name="Currency" xfId="17" builtinId="4"/>
    <cellStyle name="Currency [0]" xfId="18" builtinId="7"/>
    <cellStyle name="Percent" xfId="19" builtinId="5"/>
    <cellStyle name="Normal 2" xfId="20"/>
    <cellStyle name="Normal 2 2" xfId="21"/>
    <cellStyle name="Normal 4" xfId="22"/>
    <cellStyle name="Normal 6" xfId="23"/>
    <cellStyle name="Normal 7" xfId="24"/>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70C0"/>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2013 - Tema de 2022">
  <a:themeElements>
    <a:clrScheme name="Office 2013 - 2022">
      <a:dk1>
        <a:srgbClr val="000000"/>
      </a:dk1>
      <a:lt1>
        <a:srgbClr val="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pitchFamily="0" charset="1"/>
        <a:ea typeface=""/>
        <a:cs typeface=""/>
      </a:majorFont>
      <a:minorFont>
        <a:latin typeface="Calibri" panose="020F0502020204030204" pitchFamily="0" charset="1"/>
        <a:ea typeface=""/>
        <a:cs typeface=""/>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l="0" t="0" r="0" b="0"/>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l="0" t="0" r="0" b="0"/>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V69"/>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10.6796875" defaultRowHeight="15" zeroHeight="false" outlineLevelRow="0" outlineLevelCol="0"/>
  <cols>
    <col collapsed="false" customWidth="true" hidden="false" outlineLevel="0" max="1" min="1" style="1" width="19.86"/>
    <col collapsed="false" customWidth="true" hidden="false" outlineLevel="0" max="2" min="2" style="1" width="35.57"/>
    <col collapsed="false" customWidth="true" hidden="false" outlineLevel="0" max="3" min="3" style="1" width="23"/>
    <col collapsed="false" customWidth="true" hidden="false" outlineLevel="0" max="4" min="4" style="1" width="33.42"/>
    <col collapsed="false" customWidth="true" hidden="false" outlineLevel="0" max="5" min="5" style="1" width="21"/>
    <col collapsed="false" customWidth="true" hidden="false" outlineLevel="0" max="6" min="6" style="1" width="31.57"/>
    <col collapsed="false" customWidth="true" hidden="false" outlineLevel="0" max="7" min="7" style="1" width="47.86"/>
    <col collapsed="false" customWidth="true" hidden="false" outlineLevel="0" max="8" min="8" style="1" width="15"/>
    <col collapsed="false" customWidth="true" hidden="false" outlineLevel="0" max="9" min="9" style="1" width="20.57"/>
    <col collapsed="false" customWidth="true" hidden="false" outlineLevel="0" max="10" min="10" style="1" width="28.14"/>
    <col collapsed="false" customWidth="true" hidden="false" outlineLevel="0" max="14" min="11" style="1" width="10.29"/>
    <col collapsed="false" customWidth="true" hidden="false" outlineLevel="0" max="15" min="15" style="1" width="21.71"/>
    <col collapsed="false" customWidth="true" hidden="false" outlineLevel="0" max="16" min="16" style="1" width="25.14"/>
    <col collapsed="false" customWidth="true" hidden="false" outlineLevel="0" max="17" min="17" style="1" width="26.29"/>
    <col collapsed="false" customWidth="true" hidden="false" outlineLevel="0" max="18" min="18" style="1" width="21.71"/>
    <col collapsed="false" customWidth="true" hidden="false" outlineLevel="0" max="19" min="19" style="1" width="31.57"/>
    <col collapsed="false" customWidth="true" hidden="false" outlineLevel="0" max="20" min="20" style="1" width="17.15"/>
    <col collapsed="false" customWidth="true" hidden="false" outlineLevel="0" max="22" min="21" style="1" width="22.57"/>
    <col collapsed="false" customWidth="true" hidden="false" outlineLevel="0" max="23" min="23" style="1" width="36.15"/>
    <col collapsed="false" customWidth="true" hidden="false" outlineLevel="0" max="24" min="24" style="1" width="7.16"/>
    <col collapsed="false" customWidth="true" hidden="false" outlineLevel="0" max="25" min="25" style="1" width="13.29"/>
    <col collapsed="false" customWidth="true" hidden="false" outlineLevel="0" max="26" min="26" style="1" width="12"/>
    <col collapsed="false" customWidth="true" hidden="false" outlineLevel="0" max="27" min="27" style="1" width="23.71"/>
    <col collapsed="false" customWidth="true" hidden="false" outlineLevel="0" max="28" min="28" style="1" width="64.29"/>
    <col collapsed="false" customWidth="true" hidden="false" outlineLevel="0" max="29" min="29" style="1" width="35.14"/>
    <col collapsed="false" customWidth="true" hidden="false" outlineLevel="0" max="30" min="30" style="1" width="14.29"/>
    <col collapsed="false" customWidth="true" hidden="false" outlineLevel="0" max="33" min="31" style="1" width="10.29"/>
    <col collapsed="false" customWidth="true" hidden="false" outlineLevel="0" max="34" min="34" style="1" width="18.29"/>
    <col collapsed="false" customWidth="true" hidden="false" outlineLevel="0" max="35" min="35" style="1" width="60.57"/>
    <col collapsed="false" customWidth="true" hidden="false" outlineLevel="0" max="36" min="36" style="1" width="54.29"/>
    <col collapsed="false" customWidth="true" hidden="false" outlineLevel="0" max="37" min="37" style="1" width="32.29"/>
    <col collapsed="false" customWidth="true" hidden="false" outlineLevel="0" max="39" min="39" style="1" width="49.14"/>
    <col collapsed="false" customWidth="true" hidden="false" outlineLevel="0" max="40" min="40" style="1" width="32.29"/>
    <col collapsed="false" customWidth="true" hidden="false" outlineLevel="0" max="41" min="41" style="1" width="29.14"/>
    <col collapsed="false" customWidth="true" hidden="false" outlineLevel="0" max="42" min="42" style="1" width="54.29"/>
    <col collapsed="false" customWidth="true" hidden="false" outlineLevel="0" max="43" min="43" style="1" width="82.71"/>
    <col collapsed="false" customWidth="true" hidden="false" outlineLevel="0" max="44" min="44" style="1" width="10.29"/>
    <col collapsed="false" customWidth="true" hidden="false" outlineLevel="0" max="45" min="45" style="1" width="7"/>
    <col collapsed="false" customWidth="true" hidden="false" outlineLevel="0" max="46" min="46" style="1" width="10.85"/>
    <col collapsed="false" customWidth="true" hidden="false" outlineLevel="0" max="47" min="47" style="1" width="17.15"/>
    <col collapsed="false" customWidth="true" hidden="false" outlineLevel="0" max="48" min="48" style="1" width="2.16"/>
  </cols>
  <sheetData>
    <row r="1" customFormat="false" ht="58.5" hidden="false" customHeight="true" outlineLevel="0" collapsed="false">
      <c r="A1" s="2" t="s">
        <v>0</v>
      </c>
      <c r="B1" s="2"/>
      <c r="C1" s="2"/>
      <c r="D1" s="2"/>
      <c r="E1" s="2"/>
      <c r="F1" s="2"/>
      <c r="G1" s="2"/>
      <c r="H1" s="2"/>
      <c r="I1" s="2"/>
      <c r="J1" s="2"/>
      <c r="K1" s="2"/>
      <c r="L1" s="2"/>
      <c r="M1" s="2"/>
      <c r="N1" s="2"/>
      <c r="O1" s="2"/>
      <c r="P1" s="2"/>
      <c r="Q1" s="2"/>
      <c r="R1" s="2"/>
      <c r="S1" s="2"/>
      <c r="T1" s="2"/>
      <c r="U1" s="2"/>
      <c r="V1" s="2"/>
      <c r="W1" s="2"/>
      <c r="X1" s="2"/>
      <c r="Y1" s="3"/>
      <c r="Z1" s="3"/>
      <c r="AA1" s="3"/>
      <c r="AB1" s="3"/>
      <c r="AC1" s="3"/>
      <c r="AD1" s="3"/>
      <c r="AE1" s="3"/>
      <c r="AF1" s="3"/>
      <c r="AG1" s="3"/>
      <c r="AH1" s="3"/>
      <c r="AI1" s="3"/>
      <c r="AJ1" s="3"/>
      <c r="AK1" s="3"/>
      <c r="AL1" s="3"/>
      <c r="AM1" s="3"/>
      <c r="AN1" s="3"/>
      <c r="AO1" s="3"/>
      <c r="AP1" s="3"/>
      <c r="AQ1" s="3"/>
      <c r="AR1" s="3"/>
      <c r="AS1" s="3"/>
      <c r="AT1" s="3"/>
      <c r="AU1" s="3"/>
      <c r="AV1" s="3"/>
    </row>
    <row r="2" customFormat="false" ht="16.5" hidden="false" customHeight="true" outlineLevel="0" collapsed="false">
      <c r="A2" s="4"/>
      <c r="B2" s="4"/>
      <c r="C2" s="4"/>
      <c r="D2" s="4"/>
      <c r="E2" s="5"/>
      <c r="F2" s="4"/>
      <c r="G2" s="4"/>
      <c r="H2" s="4"/>
      <c r="I2" s="4"/>
      <c r="J2" s="4"/>
      <c r="K2" s="6"/>
      <c r="L2" s="6"/>
      <c r="M2" s="6"/>
      <c r="N2" s="6"/>
      <c r="O2" s="6"/>
      <c r="P2" s="6"/>
      <c r="Q2" s="6"/>
      <c r="R2" s="6"/>
      <c r="S2" s="7"/>
      <c r="T2" s="7"/>
      <c r="U2" s="7"/>
      <c r="V2" s="7"/>
      <c r="W2" s="6"/>
      <c r="X2" s="6"/>
      <c r="Y2" s="6"/>
      <c r="Z2" s="6"/>
      <c r="AA2" s="7"/>
      <c r="AB2" s="7"/>
      <c r="AC2" s="7"/>
      <c r="AD2" s="6"/>
      <c r="AE2" s="6"/>
      <c r="AF2" s="6"/>
      <c r="AG2" s="6"/>
      <c r="AH2" s="6"/>
      <c r="AI2" s="8"/>
      <c r="AJ2" s="8"/>
      <c r="AK2" s="8"/>
      <c r="AL2" s="8"/>
      <c r="AM2" s="8"/>
      <c r="AN2" s="9"/>
      <c r="AO2" s="9"/>
      <c r="AP2" s="9"/>
      <c r="AQ2" s="9"/>
      <c r="AR2" s="9"/>
      <c r="AS2" s="5"/>
      <c r="AT2" s="5"/>
      <c r="AU2" s="4"/>
      <c r="AV2" s="3"/>
    </row>
    <row r="3" customFormat="false" ht="16.5" hidden="false" customHeight="true" outlineLevel="0" collapsed="false">
      <c r="A3" s="10" t="s">
        <v>1</v>
      </c>
      <c r="B3" s="10"/>
      <c r="C3" s="10"/>
      <c r="D3" s="10"/>
      <c r="E3" s="10"/>
      <c r="F3" s="10"/>
      <c r="G3" s="10"/>
      <c r="H3" s="10"/>
      <c r="I3" s="10"/>
      <c r="J3" s="10"/>
      <c r="K3" s="10" t="s">
        <v>2</v>
      </c>
      <c r="L3" s="10"/>
      <c r="M3" s="10"/>
      <c r="N3" s="10"/>
      <c r="O3" s="10"/>
      <c r="P3" s="10"/>
      <c r="Q3" s="10"/>
      <c r="R3" s="10"/>
      <c r="S3" s="10"/>
      <c r="T3" s="10"/>
      <c r="U3" s="10"/>
      <c r="V3" s="10"/>
      <c r="W3" s="10"/>
      <c r="X3" s="10"/>
      <c r="Y3" s="10" t="s">
        <v>3</v>
      </c>
      <c r="Z3" s="10"/>
      <c r="AA3" s="10"/>
      <c r="AB3" s="10"/>
      <c r="AC3" s="10"/>
      <c r="AD3" s="10"/>
      <c r="AE3" s="10" t="s">
        <v>4</v>
      </c>
      <c r="AF3" s="10"/>
      <c r="AG3" s="10"/>
      <c r="AH3" s="10"/>
      <c r="AI3" s="10"/>
      <c r="AJ3" s="10"/>
      <c r="AK3" s="10"/>
      <c r="AL3" s="10"/>
      <c r="AM3" s="11" t="s">
        <v>5</v>
      </c>
      <c r="AN3" s="12" t="s">
        <v>6</v>
      </c>
      <c r="AO3" s="12"/>
      <c r="AP3" s="12"/>
      <c r="AQ3" s="12"/>
      <c r="AR3" s="12"/>
      <c r="AS3" s="12" t="s">
        <v>7</v>
      </c>
      <c r="AT3" s="12"/>
      <c r="AU3" s="12"/>
      <c r="AV3" s="13" t="e">
        <f aca="false">AV3:AZ6</f>
        <v>#VALUE!</v>
      </c>
    </row>
    <row r="4" customFormat="false" ht="16.5" hidden="false" customHeight="true" outlineLevel="0" collapsed="false">
      <c r="A4" s="11" t="s">
        <v>8</v>
      </c>
      <c r="B4" s="11"/>
      <c r="C4" s="11"/>
      <c r="D4" s="11"/>
      <c r="E4" s="11" t="s">
        <v>9</v>
      </c>
      <c r="F4" s="11"/>
      <c r="G4" s="11"/>
      <c r="H4" s="11" t="s">
        <v>10</v>
      </c>
      <c r="I4" s="11"/>
      <c r="J4" s="11"/>
      <c r="K4" s="14" t="s">
        <v>11</v>
      </c>
      <c r="L4" s="14"/>
      <c r="M4" s="14"/>
      <c r="N4" s="14"/>
      <c r="O4" s="14"/>
      <c r="P4" s="14"/>
      <c r="Q4" s="14"/>
      <c r="R4" s="11" t="s">
        <v>12</v>
      </c>
      <c r="S4" s="11" t="s">
        <v>13</v>
      </c>
      <c r="T4" s="11"/>
      <c r="U4" s="11"/>
      <c r="V4" s="11"/>
      <c r="W4" s="11"/>
      <c r="X4" s="11"/>
      <c r="Y4" s="11" t="s">
        <v>14</v>
      </c>
      <c r="Z4" s="11" t="s">
        <v>15</v>
      </c>
      <c r="AA4" s="11" t="s">
        <v>16</v>
      </c>
      <c r="AB4" s="11" t="s">
        <v>17</v>
      </c>
      <c r="AC4" s="15" t="s">
        <v>18</v>
      </c>
      <c r="AD4" s="15" t="s">
        <v>19</v>
      </c>
      <c r="AE4" s="14" t="s">
        <v>11</v>
      </c>
      <c r="AF4" s="14"/>
      <c r="AG4" s="14"/>
      <c r="AH4" s="14"/>
      <c r="AI4" s="14"/>
      <c r="AJ4" s="14"/>
      <c r="AK4" s="14"/>
      <c r="AL4" s="15" t="s">
        <v>12</v>
      </c>
      <c r="AM4" s="11"/>
      <c r="AN4" s="16" t="s">
        <v>20</v>
      </c>
      <c r="AO4" s="16" t="s">
        <v>21</v>
      </c>
      <c r="AP4" s="16" t="s">
        <v>22</v>
      </c>
      <c r="AQ4" s="16" t="s">
        <v>23</v>
      </c>
      <c r="AR4" s="16" t="s">
        <v>24</v>
      </c>
      <c r="AS4" s="15" t="s">
        <v>25</v>
      </c>
      <c r="AT4" s="15" t="s">
        <v>26</v>
      </c>
      <c r="AU4" s="15" t="s">
        <v>27</v>
      </c>
      <c r="AV4" s="13"/>
    </row>
    <row r="5" customFormat="false" ht="16.5" hidden="false" customHeight="true" outlineLevel="0" collapsed="false">
      <c r="A5" s="17" t="s">
        <v>28</v>
      </c>
      <c r="B5" s="17" t="s">
        <v>29</v>
      </c>
      <c r="C5" s="17" t="s">
        <v>30</v>
      </c>
      <c r="D5" s="17" t="s">
        <v>31</v>
      </c>
      <c r="E5" s="11" t="s">
        <v>32</v>
      </c>
      <c r="F5" s="11" t="s">
        <v>33</v>
      </c>
      <c r="G5" s="11" t="s">
        <v>34</v>
      </c>
      <c r="H5" s="11" t="s">
        <v>35</v>
      </c>
      <c r="I5" s="11" t="s">
        <v>36</v>
      </c>
      <c r="J5" s="11" t="s">
        <v>37</v>
      </c>
      <c r="K5" s="14" t="s">
        <v>38</v>
      </c>
      <c r="L5" s="14"/>
      <c r="M5" s="14"/>
      <c r="N5" s="14"/>
      <c r="O5" s="16" t="s">
        <v>39</v>
      </c>
      <c r="P5" s="16" t="s">
        <v>40</v>
      </c>
      <c r="Q5" s="16" t="s">
        <v>41</v>
      </c>
      <c r="R5" s="11"/>
      <c r="S5" s="11" t="s">
        <v>42</v>
      </c>
      <c r="T5" s="18" t="s">
        <v>43</v>
      </c>
      <c r="U5" s="18" t="s">
        <v>44</v>
      </c>
      <c r="V5" s="18" t="s">
        <v>45</v>
      </c>
      <c r="W5" s="18" t="s">
        <v>46</v>
      </c>
      <c r="X5" s="11" t="s">
        <v>47</v>
      </c>
      <c r="Y5" s="11"/>
      <c r="Z5" s="11"/>
      <c r="AA5" s="11"/>
      <c r="AB5" s="11"/>
      <c r="AC5" s="11"/>
      <c r="AD5" s="11"/>
      <c r="AE5" s="14" t="s">
        <v>48</v>
      </c>
      <c r="AF5" s="14"/>
      <c r="AG5" s="14"/>
      <c r="AH5" s="14"/>
      <c r="AI5" s="16" t="s">
        <v>39</v>
      </c>
      <c r="AJ5" s="16" t="s">
        <v>49</v>
      </c>
      <c r="AK5" s="16" t="s">
        <v>41</v>
      </c>
      <c r="AL5" s="15"/>
      <c r="AM5" s="15"/>
      <c r="AN5" s="15"/>
      <c r="AO5" s="15"/>
      <c r="AP5" s="15"/>
      <c r="AQ5" s="15"/>
      <c r="AR5" s="15"/>
      <c r="AS5" s="15"/>
      <c r="AT5" s="15"/>
      <c r="AU5" s="15"/>
      <c r="AV5" s="13"/>
    </row>
    <row r="6" customFormat="false" ht="78.75" hidden="false" customHeight="true" outlineLevel="0" collapsed="false">
      <c r="A6" s="17"/>
      <c r="B6" s="17"/>
      <c r="C6" s="17"/>
      <c r="D6" s="17"/>
      <c r="E6" s="17"/>
      <c r="F6" s="17"/>
      <c r="G6" s="17"/>
      <c r="H6" s="17"/>
      <c r="I6" s="17"/>
      <c r="J6" s="17"/>
      <c r="K6" s="19" t="s">
        <v>50</v>
      </c>
      <c r="L6" s="19" t="s">
        <v>51</v>
      </c>
      <c r="M6" s="19" t="s">
        <v>52</v>
      </c>
      <c r="N6" s="19" t="s">
        <v>53</v>
      </c>
      <c r="O6" s="16"/>
      <c r="P6" s="16"/>
      <c r="Q6" s="16"/>
      <c r="R6" s="16"/>
      <c r="S6" s="16"/>
      <c r="T6" s="16"/>
      <c r="U6" s="16"/>
      <c r="V6" s="16"/>
      <c r="W6" s="16"/>
      <c r="X6" s="16"/>
      <c r="Y6" s="16"/>
      <c r="Z6" s="16"/>
      <c r="AA6" s="16"/>
      <c r="AB6" s="16"/>
      <c r="AC6" s="16"/>
      <c r="AD6" s="16"/>
      <c r="AE6" s="19" t="s">
        <v>50</v>
      </c>
      <c r="AF6" s="19" t="s">
        <v>51</v>
      </c>
      <c r="AG6" s="19" t="s">
        <v>52</v>
      </c>
      <c r="AH6" s="19" t="s">
        <v>53</v>
      </c>
      <c r="AI6" s="16"/>
      <c r="AJ6" s="16"/>
      <c r="AK6" s="16"/>
      <c r="AL6" s="16"/>
      <c r="AM6" s="16"/>
      <c r="AN6" s="16"/>
      <c r="AO6" s="16"/>
      <c r="AP6" s="16"/>
      <c r="AQ6" s="16"/>
      <c r="AR6" s="16"/>
      <c r="AS6" s="16"/>
      <c r="AT6" s="16"/>
      <c r="AU6" s="16"/>
      <c r="AV6" s="13"/>
    </row>
    <row r="7" customFormat="false" ht="132" hidden="false" customHeight="true" outlineLevel="0" collapsed="false">
      <c r="A7" s="20" t="s">
        <v>54</v>
      </c>
      <c r="B7" s="21" t="s">
        <v>55</v>
      </c>
      <c r="C7" s="22" t="s">
        <v>56</v>
      </c>
      <c r="D7" s="23" t="s">
        <v>57</v>
      </c>
      <c r="E7" s="24" t="s">
        <v>58</v>
      </c>
      <c r="F7" s="23" t="s">
        <v>59</v>
      </c>
      <c r="G7" s="23" t="s">
        <v>60</v>
      </c>
      <c r="H7" s="23" t="s">
        <v>61</v>
      </c>
      <c r="I7" s="23" t="s">
        <v>61</v>
      </c>
      <c r="J7" s="23" t="s">
        <v>62</v>
      </c>
      <c r="K7" s="23" t="n">
        <v>2</v>
      </c>
      <c r="L7" s="23" t="n">
        <v>3</v>
      </c>
      <c r="M7" s="23" t="n">
        <f aca="false">+K7*L7</f>
        <v>6</v>
      </c>
      <c r="N7" s="25" t="str">
        <f aca="false">IF(AND(M7&gt;=2,M7&lt;=4),"Bajo",IF(AND(M7&gt;=6,M7&lt;=8),"Medio",IF(AND(M7&gt;=10,M7&lt;=20),"Alto",IF(AND(M7&gt;=24,M7&lt;=40),"MuyAlto","No Especificado"))))</f>
        <v>Medio</v>
      </c>
      <c r="O7" s="23" t="n">
        <v>10</v>
      </c>
      <c r="P7" s="23" t="n">
        <f aca="false">M7*O7</f>
        <v>60</v>
      </c>
      <c r="Q7" s="26" t="str">
        <f aca="false">IF(P7&gt;501, "I", IF(P7&gt;149, "II", IF(P7&gt;39, "III", "IV")))</f>
        <v>III</v>
      </c>
      <c r="R7" s="27" t="str">
        <f aca="false">IF(OR(Q7="I"),"NO ACEPTABLE",IF(OR(Q7="II")," NO ACEPTABLE O ACEPTABLE con control especifico",IF(OR(Q7="III"),"MEJORABLE (Mejorar el control existente) ",IF(OR(Q7="IV"),"ACEPTABLE mantener las medidas de control existentes"))))</f>
        <v>MEJORABLE (Mejorar el control existente) </v>
      </c>
      <c r="S7" s="23" t="s">
        <v>63</v>
      </c>
      <c r="T7" s="23" t="n">
        <v>0</v>
      </c>
      <c r="U7" s="28" t="n">
        <v>3</v>
      </c>
      <c r="V7" s="23" t="n">
        <v>0</v>
      </c>
      <c r="W7" s="23" t="n">
        <v>0</v>
      </c>
      <c r="X7" s="28" t="n">
        <f aca="false">SUM(T7:W7)</f>
        <v>3</v>
      </c>
      <c r="Y7" s="22" t="s">
        <v>64</v>
      </c>
      <c r="Z7" s="22" t="s">
        <v>64</v>
      </c>
      <c r="AA7" s="22" t="s">
        <v>64</v>
      </c>
      <c r="AB7" s="23" t="s">
        <v>65</v>
      </c>
      <c r="AC7" s="22" t="s">
        <v>66</v>
      </c>
      <c r="AD7" s="23" t="s">
        <v>67</v>
      </c>
      <c r="AE7" s="29" t="n">
        <v>0</v>
      </c>
      <c r="AF7" s="29" t="n">
        <v>0</v>
      </c>
      <c r="AG7" s="29" t="n">
        <f aca="false">AF7*AE7</f>
        <v>0</v>
      </c>
      <c r="AH7" s="30" t="str">
        <f aca="false">IF(AND(AG7&gt;=2,AG7&lt;=4),"Bajo",IF(AND(AG7&gt;=6,AG7&lt;=8),"Medio",IF(AND(AG7&gt;=10,AG7&lt;=20),"Alto",IF(AND(AG7&gt;=24,AG7&lt;=40),"MuyAlto","No Especificado"))))</f>
        <v>No Especificado</v>
      </c>
      <c r="AI7" s="29" t="n">
        <f aca="false">O7</f>
        <v>10</v>
      </c>
      <c r="AJ7" s="29" t="n">
        <f aca="false">AI7*AG7</f>
        <v>0</v>
      </c>
      <c r="AK7" s="31" t="str">
        <f aca="false">IF(AJ7&gt;501, "I", IF(AJ7&gt;149, "II", IF(AJ7&gt;39, "III", "IV")))</f>
        <v>IV</v>
      </c>
      <c r="AL7" s="29" t="str">
        <f aca="false">IF(OR(AK7="I"),"NO ACEPTABLE",IF(OR(AK7="II")," NO ACEPTABLE O ACEPTABLE con control especifico",IF(OR(AK7="III"),"MEJORABLE (Mejorar el control existente) ",IF(OR(AK7="IV"),"ACEPTABLE mantener las medidas de control existentes"))))</f>
        <v>ACEPTABLE mantener las medidas de control existentes</v>
      </c>
      <c r="AM7" s="32" t="n">
        <f aca="false">(P7-AJ7)/(P7)</f>
        <v>1</v>
      </c>
      <c r="AN7" s="33"/>
      <c r="AO7" s="33"/>
      <c r="AP7" s="33"/>
      <c r="AQ7" s="33"/>
      <c r="AR7" s="33"/>
      <c r="AS7" s="33"/>
      <c r="AT7" s="33"/>
      <c r="AU7" s="33"/>
      <c r="AV7" s="34"/>
    </row>
    <row r="8" customFormat="false" ht="82.5" hidden="false" customHeight="true" outlineLevel="0" collapsed="false">
      <c r="A8" s="20"/>
      <c r="B8" s="21"/>
      <c r="C8" s="22" t="s">
        <v>68</v>
      </c>
      <c r="D8" s="23" t="s">
        <v>57</v>
      </c>
      <c r="E8" s="28" t="s">
        <v>69</v>
      </c>
      <c r="F8" s="28" t="s">
        <v>70</v>
      </c>
      <c r="G8" s="22" t="s">
        <v>71</v>
      </c>
      <c r="H8" s="23" t="s">
        <v>61</v>
      </c>
      <c r="I8" s="23" t="s">
        <v>61</v>
      </c>
      <c r="J8" s="23" t="s">
        <v>61</v>
      </c>
      <c r="K8" s="35" t="n">
        <v>2</v>
      </c>
      <c r="L8" s="35" t="n">
        <v>3</v>
      </c>
      <c r="M8" s="23" t="n">
        <f aca="false">K8*L8</f>
        <v>6</v>
      </c>
      <c r="N8" s="25" t="str">
        <f aca="false">IF(AND(M8&gt;=2,M8&lt;=4),"Bajo",IF(AND(M8&gt;=6,M8&lt;=8),"Medio",IF(AND(M8&gt;=10,M8&lt;=20),"Alto",IF(AND(M8&gt;=24,M8&lt;=40),"MuyAlto","No Especificado"))))</f>
        <v>Medio</v>
      </c>
      <c r="O8" s="23" t="n">
        <v>10</v>
      </c>
      <c r="P8" s="23" t="n">
        <f aca="false">+O8*M8</f>
        <v>60</v>
      </c>
      <c r="Q8" s="26" t="str">
        <f aca="false">IF(P8&gt;501, "I", IF(P8&gt;149, "II", IF(P8&gt;39, "III", "IV")))</f>
        <v>III</v>
      </c>
      <c r="R8" s="27" t="str">
        <f aca="false">IF(OR(Q8="I"),"NO ACEPTABLE",IF(OR(Q8="II")," NO ACEPTABLE O ACEPTABLE con control especifico",IF(OR(Q8="III"),"MEJORABLE (Mejorar el control existente) ",IF(OR(Q8="IV"),"ACEPTABLE mantener las medidas de control existentes"))))</f>
        <v>MEJORABLE (Mejorar el control existente) </v>
      </c>
      <c r="S8" s="23" t="s">
        <v>63</v>
      </c>
      <c r="T8" s="23" t="n">
        <v>0</v>
      </c>
      <c r="U8" s="28" t="n">
        <v>3</v>
      </c>
      <c r="V8" s="23" t="n">
        <v>0</v>
      </c>
      <c r="W8" s="23" t="n">
        <v>0</v>
      </c>
      <c r="X8" s="28" t="n">
        <f aca="false">SUM(T8:W8)</f>
        <v>3</v>
      </c>
      <c r="Y8" s="22" t="s">
        <v>64</v>
      </c>
      <c r="Z8" s="22" t="s">
        <v>64</v>
      </c>
      <c r="AA8" s="22" t="s">
        <v>64</v>
      </c>
      <c r="AB8" s="22" t="s">
        <v>72</v>
      </c>
      <c r="AC8" s="22" t="s">
        <v>66</v>
      </c>
      <c r="AD8" s="23" t="s">
        <v>67</v>
      </c>
      <c r="AE8" s="27" t="n">
        <v>0</v>
      </c>
      <c r="AF8" s="27" t="n">
        <v>0</v>
      </c>
      <c r="AG8" s="29" t="n">
        <f aca="false">AF8*AE8</f>
        <v>0</v>
      </c>
      <c r="AH8" s="36" t="str">
        <f aca="false">IF(AND(AG8&gt;=2,AG8&lt;=4),"Bajo",IF(AND(AG8&gt;=6,AG8&lt;=8),"Medio",IF(AND(AG8&gt;=10,AG8&lt;=20),"Alto",IF(AND(AG8&gt;=24,AG8&lt;=40),"MuyAlto","No Especificado"))))</f>
        <v>No Especificado</v>
      </c>
      <c r="AI8" s="27" t="n">
        <f aca="false">O8</f>
        <v>10</v>
      </c>
      <c r="AJ8" s="27" t="n">
        <f aca="false">AI8*AG8</f>
        <v>0</v>
      </c>
      <c r="AK8" s="23" t="str">
        <f aca="false">IF(AJ8&gt;501, "I", IF(AJ8&gt;149, "II", IF(AJ8&gt;39, "III", "IV")))</f>
        <v>IV</v>
      </c>
      <c r="AL8" s="27" t="str">
        <f aca="false">IF(OR(AK8="I"),"NO ACEPTABLE",IF(OR(AK8="II")," NO ACEPTABLE O ACEPTABLE con control especifico",IF(OR(AK8="III"),"MEJORABLE (Mejorar el control existente) ",IF(OR(AK8="IV"),"ACEPTABLE mantener las medidas de control existentes"))))</f>
        <v>ACEPTABLE mantener las medidas de control existentes</v>
      </c>
      <c r="AM8" s="37" t="n">
        <f aca="false">(P8-AJ8)/(P8)</f>
        <v>1</v>
      </c>
      <c r="AN8" s="33"/>
      <c r="AO8" s="33"/>
      <c r="AP8" s="33"/>
      <c r="AQ8" s="33"/>
      <c r="AR8" s="33"/>
      <c r="AS8" s="33"/>
      <c r="AT8" s="33"/>
      <c r="AU8" s="33"/>
      <c r="AV8" s="34"/>
    </row>
    <row r="9" customFormat="false" ht="82.5" hidden="false" customHeight="true" outlineLevel="0" collapsed="false">
      <c r="A9" s="20"/>
      <c r="B9" s="21"/>
      <c r="C9" s="22" t="s">
        <v>73</v>
      </c>
      <c r="D9" s="23" t="s">
        <v>57</v>
      </c>
      <c r="E9" s="23" t="s">
        <v>74</v>
      </c>
      <c r="F9" s="23" t="s">
        <v>75</v>
      </c>
      <c r="G9" s="23" t="s">
        <v>76</v>
      </c>
      <c r="H9" s="23" t="s">
        <v>61</v>
      </c>
      <c r="I9" s="23" t="s">
        <v>61</v>
      </c>
      <c r="J9" s="23" t="s">
        <v>61</v>
      </c>
      <c r="K9" s="35" t="n">
        <v>2</v>
      </c>
      <c r="L9" s="35" t="n">
        <v>3</v>
      </c>
      <c r="M9" s="23" t="n">
        <f aca="false">K9*L9</f>
        <v>6</v>
      </c>
      <c r="N9" s="25" t="str">
        <f aca="false">IF(AND(M9&gt;=2,M9&lt;=4),"Bajo",IF(AND(M9&gt;=6,M9&lt;=8),"Medio",IF(AND(M9&gt;=10,M9&lt;=20),"Alto",IF(AND(M9&gt;=24,M9&lt;=40),"MuyAlto","No Especificado"))))</f>
        <v>Medio</v>
      </c>
      <c r="O9" s="23" t="n">
        <v>10</v>
      </c>
      <c r="P9" s="23" t="n">
        <f aca="false">+O9*M9</f>
        <v>60</v>
      </c>
      <c r="Q9" s="26" t="str">
        <f aca="false">IF(P9&gt;501, "I", IF(P9&gt;149, "II", IF(P9&gt;39, "III", "IV")))</f>
        <v>III</v>
      </c>
      <c r="R9" s="27" t="str">
        <f aca="false">IF(OR(Q9="I"),"NO ACEPTABLE",IF(OR(Q9="II")," NO ACEPTABLE O ACEPTABLE con control especifico",IF(OR(Q9="III"),"MEJORABLE (Mejorar el control existente) ",IF(OR(Q9="IV"),"ACEPTABLE mantener las medidas de control existentes"))))</f>
        <v>MEJORABLE (Mejorar el control existente) </v>
      </c>
      <c r="S9" s="23" t="s">
        <v>63</v>
      </c>
      <c r="T9" s="23" t="n">
        <v>0</v>
      </c>
      <c r="U9" s="28" t="n">
        <v>3</v>
      </c>
      <c r="V9" s="23" t="n">
        <v>0</v>
      </c>
      <c r="W9" s="23" t="n">
        <v>0</v>
      </c>
      <c r="X9" s="28" t="n">
        <f aca="false">SUM(T9:W9)</f>
        <v>3</v>
      </c>
      <c r="Y9" s="22" t="s">
        <v>64</v>
      </c>
      <c r="Z9" s="22" t="s">
        <v>64</v>
      </c>
      <c r="AA9" s="22" t="s">
        <v>64</v>
      </c>
      <c r="AB9" s="22" t="s">
        <v>77</v>
      </c>
      <c r="AC9" s="22" t="s">
        <v>64</v>
      </c>
      <c r="AD9" s="23" t="s">
        <v>67</v>
      </c>
      <c r="AE9" s="27" t="n">
        <v>0</v>
      </c>
      <c r="AF9" s="27" t="n">
        <v>0</v>
      </c>
      <c r="AG9" s="29" t="n">
        <f aca="false">AF9*AE9</f>
        <v>0</v>
      </c>
      <c r="AH9" s="36" t="str">
        <f aca="false">IF(AND(AG9&gt;=2,AG9&lt;=4),"Bajo",IF(AND(AG9&gt;=6,AG9&lt;=8),"Medio",IF(AND(AG9&gt;=10,AG9&lt;=20),"Alto",IF(AND(AG9&gt;=24,AG9&lt;=40),"MuyAlto","No Especificado"))))</f>
        <v>No Especificado</v>
      </c>
      <c r="AI9" s="27" t="n">
        <f aca="false">O9</f>
        <v>10</v>
      </c>
      <c r="AJ9" s="27" t="n">
        <f aca="false">AI9*AG9</f>
        <v>0</v>
      </c>
      <c r="AK9" s="23" t="str">
        <f aca="false">IF(AJ9&gt;501, "I", IF(AJ9&gt;149, "II", IF(AJ9&gt;39, "III", "IV")))</f>
        <v>IV</v>
      </c>
      <c r="AL9" s="27" t="str">
        <f aca="false">IF(OR(AK9="I"),"NO ACEPTABLE",IF(OR(AK9="II")," NO ACEPTABLE O ACEPTABLE con control especifico",IF(OR(AK9="III"),"MEJORABLE (Mejorar el control existente) ",IF(OR(AK9="IV"),"ACEPTABLE mantener las medidas de control existentes"))))</f>
        <v>ACEPTABLE mantener las medidas de control existentes</v>
      </c>
      <c r="AM9" s="37" t="n">
        <f aca="false">(P9-AJ9)/(P9)</f>
        <v>1</v>
      </c>
      <c r="AN9" s="33"/>
      <c r="AO9" s="33"/>
      <c r="AP9" s="33"/>
      <c r="AQ9" s="33"/>
      <c r="AR9" s="33"/>
      <c r="AS9" s="33"/>
      <c r="AT9" s="33"/>
      <c r="AU9" s="33"/>
      <c r="AV9" s="34"/>
    </row>
    <row r="10" customFormat="false" ht="148.5" hidden="false" customHeight="true" outlineLevel="0" collapsed="false">
      <c r="A10" s="20"/>
      <c r="B10" s="21"/>
      <c r="C10" s="38" t="s">
        <v>78</v>
      </c>
      <c r="D10" s="23" t="s">
        <v>57</v>
      </c>
      <c r="E10" s="22" t="s">
        <v>79</v>
      </c>
      <c r="F10" s="23" t="s">
        <v>80</v>
      </c>
      <c r="G10" s="23" t="s">
        <v>81</v>
      </c>
      <c r="H10" s="23" t="s">
        <v>61</v>
      </c>
      <c r="I10" s="23" t="s">
        <v>61</v>
      </c>
      <c r="J10" s="23" t="s">
        <v>61</v>
      </c>
      <c r="K10" s="35" t="n">
        <v>2</v>
      </c>
      <c r="L10" s="35" t="n">
        <v>3</v>
      </c>
      <c r="M10" s="23" t="n">
        <f aca="false">K10*L10</f>
        <v>6</v>
      </c>
      <c r="N10" s="25" t="str">
        <f aca="false">IF(AND(M10&gt;=2,M10&lt;=4),"Bajo",IF(AND(M10&gt;=6,M10&lt;=8),"Medio",IF(AND(M10&gt;=10,M10&lt;=20),"Alto",IF(AND(M10&gt;=24,M10&lt;=40),"MuyAlto","No Especificado"))))</f>
        <v>Medio</v>
      </c>
      <c r="O10" s="23" t="n">
        <v>10</v>
      </c>
      <c r="P10" s="23" t="n">
        <f aca="false">+O10*M10</f>
        <v>60</v>
      </c>
      <c r="Q10" s="26" t="str">
        <f aca="false">IF(P10&gt;501, "I", IF(P10&gt;149, "II", IF(P10&gt;39, "III", "IV")))</f>
        <v>III</v>
      </c>
      <c r="R10" s="27" t="str">
        <f aca="false">IF(OR(Q10="I"),"NO ACEPTABLE",IF(OR(Q10="II")," NO ACEPTABLE O ACEPTABLE con control especifico",IF(OR(Q10="III"),"MEJORABLE (Mejorar el control existente) ",IF(OR(Q10="IV"),"ACEPTABLE mantener las medidas de control existentes"))))</f>
        <v>MEJORABLE (Mejorar el control existente) </v>
      </c>
      <c r="S10" s="23" t="s">
        <v>63</v>
      </c>
      <c r="T10" s="23" t="n">
        <v>0</v>
      </c>
      <c r="U10" s="28" t="n">
        <v>3</v>
      </c>
      <c r="V10" s="23" t="n">
        <v>0</v>
      </c>
      <c r="W10" s="23" t="n">
        <v>0</v>
      </c>
      <c r="X10" s="28" t="n">
        <f aca="false">SUM(T10:W10)</f>
        <v>3</v>
      </c>
      <c r="Y10" s="22" t="s">
        <v>64</v>
      </c>
      <c r="Z10" s="22" t="s">
        <v>64</v>
      </c>
      <c r="AA10" s="23" t="s">
        <v>82</v>
      </c>
      <c r="AB10" s="22" t="s">
        <v>64</v>
      </c>
      <c r="AC10" s="22" t="s">
        <v>64</v>
      </c>
      <c r="AD10" s="23" t="s">
        <v>67</v>
      </c>
      <c r="AE10" s="27" t="n">
        <v>0</v>
      </c>
      <c r="AF10" s="27" t="n">
        <v>0</v>
      </c>
      <c r="AG10" s="29" t="n">
        <f aca="false">AF10*AE10</f>
        <v>0</v>
      </c>
      <c r="AH10" s="36" t="str">
        <f aca="false">IF(AND(AG10&gt;=2,AG10&lt;=4),"Bajo",IF(AND(AG10&gt;=6,AG10&lt;=8),"Medio",IF(AND(AG10&gt;=10,AG10&lt;=20),"Alto",IF(AND(AG10&gt;=24,AG10&lt;=40),"MuyAlto","No Especificado"))))</f>
        <v>No Especificado</v>
      </c>
      <c r="AI10" s="27" t="n">
        <f aca="false">O10</f>
        <v>10</v>
      </c>
      <c r="AJ10" s="27" t="n">
        <f aca="false">AI10*AG10</f>
        <v>0</v>
      </c>
      <c r="AK10" s="23" t="str">
        <f aca="false">IF(AJ10&gt;501, "I", IF(AJ10&gt;149, "II", IF(AJ10&gt;39, "III", "IV")))</f>
        <v>IV</v>
      </c>
      <c r="AL10" s="27" t="str">
        <f aca="false">IF(OR(AK10="I"),"NO ACEPTABLE",IF(OR(AK10="II")," NO ACEPTABLE O ACEPTABLE con control especifico",IF(OR(AK10="III"),"MEJORABLE (Mejorar el control existente) ",IF(OR(AK10="IV"),"ACEPTABLE mantener las medidas de control existentes"))))</f>
        <v>ACEPTABLE mantener las medidas de control existentes</v>
      </c>
      <c r="AM10" s="37" t="n">
        <f aca="false">(P10-AJ10)/(P10)</f>
        <v>1</v>
      </c>
      <c r="AN10" s="39"/>
      <c r="AO10" s="39"/>
      <c r="AP10" s="39"/>
      <c r="AQ10" s="39"/>
      <c r="AR10" s="40"/>
      <c r="AS10" s="41"/>
      <c r="AT10" s="41"/>
      <c r="AU10" s="41"/>
      <c r="AV10" s="34"/>
    </row>
    <row r="11" customFormat="false" ht="148.5" hidden="false" customHeight="true" outlineLevel="0" collapsed="false">
      <c r="A11" s="20"/>
      <c r="B11" s="21"/>
      <c r="C11" s="22" t="s">
        <v>83</v>
      </c>
      <c r="D11" s="23" t="s">
        <v>57</v>
      </c>
      <c r="E11" s="22" t="s">
        <v>84</v>
      </c>
      <c r="F11" s="22" t="s">
        <v>85</v>
      </c>
      <c r="G11" s="22" t="s">
        <v>86</v>
      </c>
      <c r="H11" s="23" t="s">
        <v>61</v>
      </c>
      <c r="I11" s="23" t="s">
        <v>61</v>
      </c>
      <c r="J11" s="23" t="s">
        <v>61</v>
      </c>
      <c r="K11" s="23" t="n">
        <v>2</v>
      </c>
      <c r="L11" s="23" t="n">
        <v>3</v>
      </c>
      <c r="M11" s="23" t="n">
        <f aca="false">+K11*L11</f>
        <v>6</v>
      </c>
      <c r="N11" s="25" t="str">
        <f aca="false">IF(AND(M11&gt;=2,M11&lt;=4),"Bajo",IF(AND(M11&gt;=6,M11&lt;=8),"Medio",IF(AND(M11&gt;=10,M11&lt;=20),"Alto",IF(AND(M11&gt;=24,M11&lt;=40),"MuyAlto","No Especificado"))))</f>
        <v>Medio</v>
      </c>
      <c r="O11" s="23" t="n">
        <v>25</v>
      </c>
      <c r="P11" s="23" t="n">
        <f aca="false">M11*O11</f>
        <v>150</v>
      </c>
      <c r="Q11" s="26" t="str">
        <f aca="false">IF(P11&gt;501, "I", IF(P11&gt;149, "II", IF(P11&gt;39, "III", "IV")))</f>
        <v>II</v>
      </c>
      <c r="R11" s="27" t="str">
        <f aca="false">IF(OR(Q11="I"),"NO ACEPTABLE",IF(OR(Q11="II")," NO ACEPTABLE O ACEPTABLE con control especifico",IF(OR(Q11="III"),"MEJORABLE (Mejorar el control existente) ",IF(OR(Q11="IV"),"ACEPTABLE mantener las medidas de control existentes"))))</f>
        <v> NO ACEPTABLE O ACEPTABLE con control especifico</v>
      </c>
      <c r="S11" s="23" t="s">
        <v>63</v>
      </c>
      <c r="T11" s="23" t="n">
        <v>0</v>
      </c>
      <c r="U11" s="28" t="n">
        <v>3</v>
      </c>
      <c r="V11" s="23" t="n">
        <v>0</v>
      </c>
      <c r="W11" s="23" t="n">
        <v>0</v>
      </c>
      <c r="X11" s="28" t="n">
        <f aca="false">SUM(T11:W11)</f>
        <v>3</v>
      </c>
      <c r="Y11" s="22" t="s">
        <v>64</v>
      </c>
      <c r="Z11" s="22" t="s">
        <v>64</v>
      </c>
      <c r="AA11" s="22" t="s">
        <v>64</v>
      </c>
      <c r="AB11" s="22" t="s">
        <v>87</v>
      </c>
      <c r="AC11" s="22" t="s">
        <v>88</v>
      </c>
      <c r="AD11" s="23" t="s">
        <v>67</v>
      </c>
      <c r="AE11" s="27" t="n">
        <v>0</v>
      </c>
      <c r="AF11" s="27" t="n">
        <v>0</v>
      </c>
      <c r="AG11" s="29" t="n">
        <f aca="false">AF11*AE11</f>
        <v>0</v>
      </c>
      <c r="AH11" s="36" t="str">
        <f aca="false">IF(AND(AG11&gt;=2,AG11&lt;=4),"Bajo",IF(AND(AG11&gt;=6,AG11&lt;=8),"Medio",IF(AND(AG11&gt;=10,AG11&lt;=20),"Alto",IF(AND(AG11&gt;=24,AG11&lt;=40),"MuyAlto","No Especificado"))))</f>
        <v>No Especificado</v>
      </c>
      <c r="AI11" s="27" t="n">
        <f aca="false">O11</f>
        <v>25</v>
      </c>
      <c r="AJ11" s="27" t="n">
        <f aca="false">AI11*AG11</f>
        <v>0</v>
      </c>
      <c r="AK11" s="23" t="str">
        <f aca="false">IF(AJ11&gt;501, "I", IF(AJ11&gt;149, "II", IF(AJ11&gt;39, "III", "IV")))</f>
        <v>IV</v>
      </c>
      <c r="AL11" s="27" t="str">
        <f aca="false">IF(OR(AK11="I"),"NO ACEPTABLE",IF(OR(AK11="II")," NO ACEPTABLE O ACEPTABLE con control especifico",IF(OR(AK11="III"),"MEJORABLE (Mejorar el control existente) ",IF(OR(AK11="IV"),"ACEPTABLE mantener las medidas de control existentes"))))</f>
        <v>ACEPTABLE mantener las medidas de control existentes</v>
      </c>
      <c r="AM11" s="37" t="n">
        <f aca="false">(P11-AJ11)/(P11)</f>
        <v>1</v>
      </c>
      <c r="AN11" s="33"/>
      <c r="AO11" s="33"/>
      <c r="AP11" s="33"/>
      <c r="AQ11" s="33"/>
      <c r="AR11" s="33"/>
      <c r="AS11" s="33"/>
      <c r="AT11" s="33"/>
      <c r="AU11" s="33"/>
      <c r="AV11" s="34"/>
    </row>
    <row r="12" customFormat="false" ht="82.5" hidden="false" customHeight="true" outlineLevel="0" collapsed="false">
      <c r="A12" s="20"/>
      <c r="B12" s="21"/>
      <c r="C12" s="22" t="s">
        <v>89</v>
      </c>
      <c r="D12" s="23" t="s">
        <v>57</v>
      </c>
      <c r="E12" s="22" t="s">
        <v>84</v>
      </c>
      <c r="F12" s="23" t="s">
        <v>90</v>
      </c>
      <c r="G12" s="23" t="s">
        <v>91</v>
      </c>
      <c r="H12" s="23" t="s">
        <v>61</v>
      </c>
      <c r="I12" s="23" t="s">
        <v>61</v>
      </c>
      <c r="J12" s="23" t="s">
        <v>61</v>
      </c>
      <c r="K12" s="35" t="n">
        <v>2</v>
      </c>
      <c r="L12" s="35" t="n">
        <v>3</v>
      </c>
      <c r="M12" s="23" t="n">
        <f aca="false">+K12*L12</f>
        <v>6</v>
      </c>
      <c r="N12" s="25" t="str">
        <f aca="false">IF(AND(M12&gt;=2,M12&lt;=4),"Bajo",IF(AND(M12&gt;=6,M12&lt;=8),"Medio",IF(AND(M12&gt;=10,M12&lt;=20),"Alto",IF(AND(M12&gt;=24,M12&lt;=40),"MuyAlto","No Especificado"))))</f>
        <v>Medio</v>
      </c>
      <c r="O12" s="23" t="n">
        <v>10</v>
      </c>
      <c r="P12" s="23" t="n">
        <f aca="false">+O12*M12</f>
        <v>60</v>
      </c>
      <c r="Q12" s="26" t="str">
        <f aca="false">IF(P12&gt;501, "I", IF(P12&gt;149, "II", IF(P12&gt;39, "III", "IV")))</f>
        <v>III</v>
      </c>
      <c r="R12" s="23" t="str">
        <f aca="false">IF(OR(Q12="I"),"NO ACEPTABLE",IF(OR(Q12="II")," NO ACEPTABLE O ACEPTABLE con control especifico",IF(OR(Q12="III"),"MEJORABLE (Mejorar el control existente) ",IF(OR(Q12="IV"),"ACEPTABLE mantener las medidas de control existentes"))))</f>
        <v>MEJORABLE (Mejorar el control existente) </v>
      </c>
      <c r="S12" s="23" t="s">
        <v>63</v>
      </c>
      <c r="T12" s="23" t="n">
        <v>0</v>
      </c>
      <c r="U12" s="28" t="n">
        <v>3</v>
      </c>
      <c r="V12" s="23" t="n">
        <v>0</v>
      </c>
      <c r="W12" s="23" t="n">
        <v>0</v>
      </c>
      <c r="X12" s="28" t="n">
        <f aca="false">SUM(T12:W12)</f>
        <v>3</v>
      </c>
      <c r="Y12" s="22" t="s">
        <v>64</v>
      </c>
      <c r="Z12" s="22" t="s">
        <v>64</v>
      </c>
      <c r="AA12" s="22" t="s">
        <v>64</v>
      </c>
      <c r="AB12" s="23" t="s">
        <v>92</v>
      </c>
      <c r="AC12" s="23" t="s">
        <v>93</v>
      </c>
      <c r="AD12" s="23" t="s">
        <v>94</v>
      </c>
      <c r="AE12" s="27" t="n">
        <v>0</v>
      </c>
      <c r="AF12" s="27" t="n">
        <v>0</v>
      </c>
      <c r="AG12" s="29" t="n">
        <f aca="false">AF12*AE12</f>
        <v>0</v>
      </c>
      <c r="AH12" s="36" t="str">
        <f aca="false">IF(AND(AG12&gt;=2,AG12&lt;=4),"Bajo",IF(AND(AG12&gt;=6,AG12&lt;=8),"Medio",IF(AND(AG12&gt;=10,AG12&lt;=20),"Alto",IF(AND(AG12&gt;=24,AG12&lt;=40),"MuyAlto","No Especificado"))))</f>
        <v>No Especificado</v>
      </c>
      <c r="AI12" s="27" t="n">
        <f aca="false">O12</f>
        <v>10</v>
      </c>
      <c r="AJ12" s="27" t="n">
        <f aca="false">AI12*AG12</f>
        <v>0</v>
      </c>
      <c r="AK12" s="23" t="str">
        <f aca="false">IF(AJ12&gt;501, "I", IF(AJ12&gt;149, "II", IF(AJ12&gt;39, "III", "IV")))</f>
        <v>IV</v>
      </c>
      <c r="AL12" s="27" t="str">
        <f aca="false">IF(OR(AK12="I"),"NO ACEPTABLE",IF(OR(AK12="II")," NO ACEPTABLE O ACEPTABLE con control especifico",IF(OR(AK12="III"),"MEJORABLE (Mejorar el control existente) ",IF(OR(AK12="IV"),"ACEPTABLE mantener las medidas de control existentes"))))</f>
        <v>ACEPTABLE mantener las medidas de control existentes</v>
      </c>
      <c r="AM12" s="37" t="n">
        <f aca="false">(P12-AJ12)/(P12)</f>
        <v>1</v>
      </c>
      <c r="AN12" s="37"/>
      <c r="AO12" s="37"/>
      <c r="AP12" s="33"/>
      <c r="AQ12" s="33"/>
      <c r="AR12" s="33"/>
      <c r="AS12" s="33"/>
      <c r="AT12" s="33"/>
      <c r="AU12" s="33"/>
      <c r="AV12" s="34"/>
    </row>
    <row r="13" customFormat="false" ht="132" hidden="false" customHeight="true" outlineLevel="0" collapsed="false">
      <c r="A13" s="20"/>
      <c r="B13" s="21"/>
      <c r="C13" s="42" t="s">
        <v>95</v>
      </c>
      <c r="D13" s="23" t="s">
        <v>57</v>
      </c>
      <c r="E13" s="22" t="s">
        <v>58</v>
      </c>
      <c r="F13" s="23" t="s">
        <v>96</v>
      </c>
      <c r="G13" s="23" t="s">
        <v>97</v>
      </c>
      <c r="H13" s="23" t="s">
        <v>61</v>
      </c>
      <c r="I13" s="23" t="s">
        <v>61</v>
      </c>
      <c r="J13" s="23" t="s">
        <v>98</v>
      </c>
      <c r="K13" s="35" t="n">
        <v>6</v>
      </c>
      <c r="L13" s="35" t="n">
        <v>3</v>
      </c>
      <c r="M13" s="23" t="n">
        <f aca="false">+K13*L13</f>
        <v>18</v>
      </c>
      <c r="N13" s="25" t="str">
        <f aca="false">IF(AND(M13&gt;=2,M13&lt;=4),"Bajo",IF(AND(M13&gt;=6,M13&lt;=8),"Medio",IF(AND(M13&gt;=10,M13&lt;=20),"Alto",IF(AND(M13&gt;=24,M13&lt;=40),"MuyAlto","No Especificado"))))</f>
        <v>Alto</v>
      </c>
      <c r="O13" s="23" t="n">
        <v>10</v>
      </c>
      <c r="P13" s="23" t="n">
        <f aca="false">+O13*M13</f>
        <v>180</v>
      </c>
      <c r="Q13" s="26" t="str">
        <f aca="false">IF(P13&gt;501, "I", IF(P13&gt;149, "II", IF(P13&gt;39, "III", "IV")))</f>
        <v>II</v>
      </c>
      <c r="R13" s="27" t="str">
        <f aca="false">IF(OR(Q13="I"),"NO ACEPTABLE",IF(OR(Q13="II")," NO ACEPTABLE O ACEPTABLE con control especifico",IF(OR(Q13="III"),"MEJORABLE (Mejorar el control existente) ",IF(OR(Q13="IV"),"ACEPTABLE mantener las medidas de control existentes"))))</f>
        <v> NO ACEPTABLE O ACEPTABLE con control especifico</v>
      </c>
      <c r="S13" s="23" t="s">
        <v>63</v>
      </c>
      <c r="T13" s="23" t="n">
        <v>0</v>
      </c>
      <c r="U13" s="28" t="n">
        <v>3</v>
      </c>
      <c r="V13" s="23" t="n">
        <v>0</v>
      </c>
      <c r="W13" s="23" t="n">
        <v>0</v>
      </c>
      <c r="X13" s="28" t="n">
        <f aca="false">SUM(T13:W13)</f>
        <v>3</v>
      </c>
      <c r="Y13" s="22" t="s">
        <v>64</v>
      </c>
      <c r="Z13" s="22" t="s">
        <v>64</v>
      </c>
      <c r="AA13" s="22" t="s">
        <v>64</v>
      </c>
      <c r="AB13" s="23" t="s">
        <v>99</v>
      </c>
      <c r="AC13" s="23" t="s">
        <v>100</v>
      </c>
      <c r="AD13" s="23" t="s">
        <v>67</v>
      </c>
      <c r="AE13" s="27" t="n">
        <v>0</v>
      </c>
      <c r="AF13" s="27" t="n">
        <v>0</v>
      </c>
      <c r="AG13" s="29" t="n">
        <f aca="false">AF13*AE13</f>
        <v>0</v>
      </c>
      <c r="AH13" s="36" t="str">
        <f aca="false">IF(AND(AG13&gt;=2,AG13&lt;=4),"Bajo",IF(AND(AG13&gt;=6,AG13&lt;=8),"Medio",IF(AND(AG13&gt;=10,AG13&lt;=20),"Alto",IF(AND(AG13&gt;=24,AG13&lt;=40),"MuyAlto","No Especificado"))))</f>
        <v>No Especificado</v>
      </c>
      <c r="AI13" s="27" t="n">
        <f aca="false">O13</f>
        <v>10</v>
      </c>
      <c r="AJ13" s="27" t="n">
        <f aca="false">AI13*AG13</f>
        <v>0</v>
      </c>
      <c r="AK13" s="23" t="str">
        <f aca="false">IF(AJ13&gt;501, "I", IF(AJ13&gt;149, "II", IF(AJ13&gt;39, "III", "IV")))</f>
        <v>IV</v>
      </c>
      <c r="AL13" s="27" t="str">
        <f aca="false">IF(OR(AK13="I"),"NO ACEPTABLE",IF(OR(AK13="II")," NO ACEPTABLE O ACEPTABLE con control especifico",IF(OR(AK13="III"),"MEJORABLE (Mejorar el control existente) ",IF(OR(AK13="IV"),"ACEPTABLE mantener las medidas de control existentes"))))</f>
        <v>ACEPTABLE mantener las medidas de control existentes</v>
      </c>
      <c r="AM13" s="37" t="n">
        <f aca="false">(P13-AJ13)/(P13)</f>
        <v>1</v>
      </c>
      <c r="AN13" s="37"/>
      <c r="AO13" s="37"/>
      <c r="AP13" s="33"/>
      <c r="AQ13" s="33"/>
      <c r="AR13" s="33"/>
      <c r="AS13" s="33"/>
      <c r="AT13" s="33"/>
      <c r="AU13" s="33"/>
      <c r="AV13" s="34"/>
    </row>
    <row r="14" customFormat="false" ht="165" hidden="false" customHeight="true" outlineLevel="0" collapsed="false">
      <c r="A14" s="20"/>
      <c r="B14" s="21"/>
      <c r="C14" s="22" t="s">
        <v>101</v>
      </c>
      <c r="D14" s="23" t="s">
        <v>57</v>
      </c>
      <c r="E14" s="22" t="s">
        <v>102</v>
      </c>
      <c r="F14" s="23" t="s">
        <v>103</v>
      </c>
      <c r="G14" s="23" t="s">
        <v>104</v>
      </c>
      <c r="H14" s="23" t="s">
        <v>61</v>
      </c>
      <c r="I14" s="23" t="s">
        <v>61</v>
      </c>
      <c r="J14" s="23" t="s">
        <v>61</v>
      </c>
      <c r="K14" s="35" t="n">
        <v>2</v>
      </c>
      <c r="L14" s="35" t="n">
        <v>3</v>
      </c>
      <c r="M14" s="23" t="n">
        <f aca="false">+K14*L14</f>
        <v>6</v>
      </c>
      <c r="N14" s="25" t="str">
        <f aca="false">IF(AND(M14&gt;=2,M14&lt;=4),"Bajo",IF(AND(M14&gt;=6,M14&lt;=8),"Medio",IF(AND(M14&gt;=10,M14&lt;=20),"Alto",IF(AND(M14&gt;=24,M14&lt;=40),"MuyAlto","No Especificado"))))</f>
        <v>Medio</v>
      </c>
      <c r="O14" s="23" t="n">
        <v>10</v>
      </c>
      <c r="P14" s="23" t="n">
        <f aca="false">+O14*M14</f>
        <v>60</v>
      </c>
      <c r="Q14" s="26" t="str">
        <f aca="false">IF(P14&gt;501, "I", IF(P14&gt;149, "II", IF(P14&gt;39, "III", "IV")))</f>
        <v>III</v>
      </c>
      <c r="R14" s="23" t="str">
        <f aca="false">IF(OR(Q14="I"),"NO ACEPTABLE",IF(OR(Q14="II")," NO ACEPTABLE O ACEPTABLE con control especifico",IF(OR(Q14="III"),"MEJORABLE (Mejorar el control existente) ",IF(OR(Q14="IV"),"ACEPTABLE mantener las medidas de control existentes"))))</f>
        <v>MEJORABLE (Mejorar el control existente) </v>
      </c>
      <c r="S14" s="23" t="s">
        <v>63</v>
      </c>
      <c r="T14" s="23" t="n">
        <v>0</v>
      </c>
      <c r="U14" s="28" t="n">
        <v>3</v>
      </c>
      <c r="V14" s="23" t="n">
        <v>0</v>
      </c>
      <c r="W14" s="23" t="n">
        <v>0</v>
      </c>
      <c r="X14" s="28" t="n">
        <f aca="false">SUM(T14:W14)</f>
        <v>3</v>
      </c>
      <c r="Y14" s="22" t="s">
        <v>64</v>
      </c>
      <c r="Z14" s="22" t="s">
        <v>64</v>
      </c>
      <c r="AA14" s="22" t="s">
        <v>64</v>
      </c>
      <c r="AB14" s="23" t="s">
        <v>105</v>
      </c>
      <c r="AC14" s="22" t="s">
        <v>64</v>
      </c>
      <c r="AD14" s="23" t="s">
        <v>67</v>
      </c>
      <c r="AE14" s="27" t="n">
        <v>0</v>
      </c>
      <c r="AF14" s="27" t="n">
        <v>0</v>
      </c>
      <c r="AG14" s="29" t="n">
        <f aca="false">AF14*AE14</f>
        <v>0</v>
      </c>
      <c r="AH14" s="36" t="str">
        <f aca="false">IF(AND(AG14&gt;=2,AG14&lt;=4),"Bajo",IF(AND(AG14&gt;=6,AG14&lt;=8),"Medio",IF(AND(AG14&gt;=10,AG14&lt;=20),"Alto",IF(AND(AG14&gt;=24,AG14&lt;=40),"MuyAlto","No Especificado"))))</f>
        <v>No Especificado</v>
      </c>
      <c r="AI14" s="27" t="n">
        <f aca="false">O14</f>
        <v>10</v>
      </c>
      <c r="AJ14" s="27" t="n">
        <f aca="false">AI14*AG14</f>
        <v>0</v>
      </c>
      <c r="AK14" s="23" t="str">
        <f aca="false">IF(AJ14&gt;501, "I", IF(AJ14&gt;149, "II", IF(AJ14&gt;39, "III", "IV")))</f>
        <v>IV</v>
      </c>
      <c r="AL14" s="27" t="str">
        <f aca="false">IF(OR(AK14="I"),"NO ACEPTABLE",IF(OR(AK14="II")," NO ACEPTABLE O ACEPTABLE con control especifico",IF(OR(AK14="III"),"MEJORABLE (Mejorar el control existente) ",IF(OR(AK14="IV"),"ACEPTABLE mantener las medidas de control existentes"))))</f>
        <v>ACEPTABLE mantener las medidas de control existentes</v>
      </c>
      <c r="AM14" s="37" t="n">
        <f aca="false">(P14-AJ14)/(P14)</f>
        <v>1</v>
      </c>
      <c r="AN14" s="37"/>
      <c r="AO14" s="37"/>
      <c r="AP14" s="33"/>
      <c r="AQ14" s="33"/>
      <c r="AR14" s="33"/>
      <c r="AS14" s="33"/>
      <c r="AT14" s="33"/>
      <c r="AU14" s="33"/>
      <c r="AV14" s="34"/>
    </row>
    <row r="15" customFormat="false" ht="82.5" hidden="false" customHeight="true" outlineLevel="0" collapsed="false">
      <c r="A15" s="20"/>
      <c r="B15" s="21"/>
      <c r="C15" s="42" t="s">
        <v>106</v>
      </c>
      <c r="D15" s="23" t="s">
        <v>107</v>
      </c>
      <c r="E15" s="28" t="s">
        <v>108</v>
      </c>
      <c r="F15" s="22" t="s">
        <v>109</v>
      </c>
      <c r="G15" s="24" t="s">
        <v>110</v>
      </c>
      <c r="H15" s="23" t="s">
        <v>61</v>
      </c>
      <c r="I15" s="23" t="s">
        <v>61</v>
      </c>
      <c r="J15" s="23" t="s">
        <v>61</v>
      </c>
      <c r="K15" s="35" t="n">
        <v>2</v>
      </c>
      <c r="L15" s="35" t="n">
        <v>3</v>
      </c>
      <c r="M15" s="23" t="n">
        <f aca="false">+K15*L15</f>
        <v>6</v>
      </c>
      <c r="N15" s="25" t="str">
        <f aca="false">IF(AND(M15&gt;=2,M15&lt;=4),"Bajo",IF(AND(M15&gt;=6,M15&lt;=8),"Medio",IF(AND(M15&gt;=10,M15&lt;=20),"Alto",IF(AND(M15&gt;=24,M15&lt;=40),"MuyAlto","No Especificado"))))</f>
        <v>Medio</v>
      </c>
      <c r="O15" s="23" t="n">
        <v>10</v>
      </c>
      <c r="P15" s="23" t="n">
        <f aca="false">+O15*M15</f>
        <v>60</v>
      </c>
      <c r="Q15" s="26" t="str">
        <f aca="false">IF(P15&gt;501, "I", IF(P15&gt;149, "II", IF(P15&gt;39, "III", "IV")))</f>
        <v>III</v>
      </c>
      <c r="R15" s="23" t="str">
        <f aca="false">IF(OR(Q15="I"),"NO ACEPTABLE",IF(OR(Q15="II")," NO ACEPTABLE O ACEPTABLE con control especifico",IF(OR(Q15="III"),"MEJORABLE (Mejorar el control existente) ",IF(OR(Q15="IV"),"ACEPTABLE mantener las medidas de control existentes"))))</f>
        <v>MEJORABLE (Mejorar el control existente) </v>
      </c>
      <c r="S15" s="23" t="s">
        <v>63</v>
      </c>
      <c r="T15" s="23" t="n">
        <v>0</v>
      </c>
      <c r="U15" s="28" t="n">
        <v>3</v>
      </c>
      <c r="V15" s="23" t="n">
        <v>0</v>
      </c>
      <c r="W15" s="23" t="n">
        <v>0</v>
      </c>
      <c r="X15" s="28" t="n">
        <f aca="false">SUM(T15:W15)</f>
        <v>3</v>
      </c>
      <c r="Y15" s="22" t="s">
        <v>64</v>
      </c>
      <c r="Z15" s="22" t="s">
        <v>64</v>
      </c>
      <c r="AA15" s="22" t="s">
        <v>64</v>
      </c>
      <c r="AB15" s="23" t="s">
        <v>111</v>
      </c>
      <c r="AC15" s="22" t="s">
        <v>64</v>
      </c>
      <c r="AD15" s="23" t="s">
        <v>67</v>
      </c>
      <c r="AE15" s="27" t="n">
        <v>0</v>
      </c>
      <c r="AF15" s="27" t="n">
        <v>0</v>
      </c>
      <c r="AG15" s="29" t="n">
        <f aca="false">AF15*AE15</f>
        <v>0</v>
      </c>
      <c r="AH15" s="36" t="str">
        <f aca="false">IF(AND(AG15&gt;=2,AG15&lt;=4),"Bajo",IF(AND(AG15&gt;=6,AG15&lt;=8),"Medio",IF(AND(AG15&gt;=10,AG15&lt;=20),"Alto",IF(AND(AG15&gt;=24,AG15&lt;=40),"MuyAlto","No Especificado"))))</f>
        <v>No Especificado</v>
      </c>
      <c r="AI15" s="27" t="n">
        <f aca="false">O15</f>
        <v>10</v>
      </c>
      <c r="AJ15" s="27" t="n">
        <f aca="false">AI15*AG15</f>
        <v>0</v>
      </c>
      <c r="AK15" s="23" t="str">
        <f aca="false">IF(AJ15&gt;501, "I", IF(AJ15&gt;149, "II", IF(AJ15&gt;39, "III", "IV")))</f>
        <v>IV</v>
      </c>
      <c r="AL15" s="27" t="str">
        <f aca="false">IF(OR(AK15="I"),"NO ACEPTABLE",IF(OR(AK15="II")," NO ACEPTABLE O ACEPTABLE con control especifico",IF(OR(AK15="III"),"MEJORABLE (Mejorar el control existente) ",IF(OR(AK15="IV"),"ACEPTABLE mantener las medidas de control existentes"))))</f>
        <v>ACEPTABLE mantener las medidas de control existentes</v>
      </c>
      <c r="AM15" s="37" t="n">
        <f aca="false">(P15-AJ15)/(P15)</f>
        <v>1</v>
      </c>
      <c r="AN15" s="37"/>
      <c r="AO15" s="37"/>
      <c r="AP15" s="33"/>
      <c r="AQ15" s="33"/>
      <c r="AR15" s="33"/>
      <c r="AS15" s="33"/>
      <c r="AT15" s="33"/>
      <c r="AU15" s="33"/>
      <c r="AV15" s="34"/>
    </row>
    <row r="16" customFormat="false" ht="132" hidden="false" customHeight="true" outlineLevel="0" collapsed="false">
      <c r="A16" s="20"/>
      <c r="B16" s="43" t="s">
        <v>112</v>
      </c>
      <c r="C16" s="22" t="s">
        <v>113</v>
      </c>
      <c r="D16" s="23" t="s">
        <v>57</v>
      </c>
      <c r="E16" s="22" t="s">
        <v>114</v>
      </c>
      <c r="F16" s="22" t="s">
        <v>115</v>
      </c>
      <c r="G16" s="22" t="s">
        <v>116</v>
      </c>
      <c r="H16" s="23" t="s">
        <v>61</v>
      </c>
      <c r="I16" s="23" t="s">
        <v>61</v>
      </c>
      <c r="J16" s="23" t="s">
        <v>61</v>
      </c>
      <c r="K16" s="23" t="n">
        <v>2</v>
      </c>
      <c r="L16" s="23" t="n">
        <v>3</v>
      </c>
      <c r="M16" s="23" t="n">
        <f aca="false">+K16*L16</f>
        <v>6</v>
      </c>
      <c r="N16" s="25" t="str">
        <f aca="false">IF(AND(M16&gt;=2,M16&lt;=4),"Bajo",IF(AND(M16&gt;=6,M16&lt;=8),"Medio",IF(AND(M16&gt;=10,M16&lt;=20),"Alto",IF(AND(M16&gt;=24,M16&lt;=40),"MuyAlto","No Especificado"))))</f>
        <v>Medio</v>
      </c>
      <c r="O16" s="23" t="n">
        <v>25</v>
      </c>
      <c r="P16" s="23" t="n">
        <f aca="false">M16*O16</f>
        <v>150</v>
      </c>
      <c r="Q16" s="26" t="str">
        <f aca="false">IF(P16&gt;501, "I", IF(P16&gt;149, "II", IF(P16&gt;39, "III", "IV")))</f>
        <v>II</v>
      </c>
      <c r="R16" s="27" t="str">
        <f aca="false">IF(OR(Q16="I"),"NO ACEPTABLE",IF(OR(Q16="II")," NO ACEPTABLE O ACEPTABLE con control especifico",IF(OR(Q16="III"),"MEJORABLE (Mejorar el control existente) ",IF(OR(Q16="IV"),"ACEPTABLE mantener las medidas de control existentes"))))</f>
        <v> NO ACEPTABLE O ACEPTABLE con control especifico</v>
      </c>
      <c r="S16" s="23" t="s">
        <v>63</v>
      </c>
      <c r="T16" s="23" t="n">
        <v>0</v>
      </c>
      <c r="U16" s="28" t="n">
        <v>3</v>
      </c>
      <c r="V16" s="23" t="n">
        <v>0</v>
      </c>
      <c r="W16" s="23" t="n">
        <v>0</v>
      </c>
      <c r="X16" s="28" t="n">
        <f aca="false">SUM(T16:W16)</f>
        <v>3</v>
      </c>
      <c r="Y16" s="22" t="s">
        <v>64</v>
      </c>
      <c r="Z16" s="22" t="s">
        <v>64</v>
      </c>
      <c r="AA16" s="22" t="s">
        <v>64</v>
      </c>
      <c r="AB16" s="22" t="s">
        <v>117</v>
      </c>
      <c r="AC16" s="22" t="s">
        <v>118</v>
      </c>
      <c r="AD16" s="23" t="s">
        <v>67</v>
      </c>
      <c r="AE16" s="27" t="n">
        <v>0</v>
      </c>
      <c r="AF16" s="27" t="n">
        <v>0</v>
      </c>
      <c r="AG16" s="29" t="n">
        <f aca="false">AF16*AE16</f>
        <v>0</v>
      </c>
      <c r="AH16" s="36" t="str">
        <f aca="false">IF(AND(AG16&gt;=2,AG16&lt;=4),"Bajo",IF(AND(AG16&gt;=6,AG16&lt;=8),"Medio",IF(AND(AG16&gt;=10,AG16&lt;=20),"Alto",IF(AND(AG16&gt;=24,AG16&lt;=40),"MuyAlto","No Especificado"))))</f>
        <v>No Especificado</v>
      </c>
      <c r="AI16" s="27" t="n">
        <f aca="false">O16</f>
        <v>25</v>
      </c>
      <c r="AJ16" s="27" t="n">
        <f aca="false">AI16*AG16</f>
        <v>0</v>
      </c>
      <c r="AK16" s="23" t="str">
        <f aca="false">IF(AJ16&gt;501, "I", IF(AJ16&gt;149, "II", IF(AJ16&gt;39, "III", "IV")))</f>
        <v>IV</v>
      </c>
      <c r="AL16" s="27" t="str">
        <f aca="false">IF(OR(AK16="I"),"NO ACEPTABLE",IF(OR(AK16="II")," NO ACEPTABLE O ACEPTABLE con control especifico",IF(OR(AK16="III"),"MEJORABLE (Mejorar el control existente) ",IF(OR(AK16="IV"),"ACEPTABLE mantener las medidas de control existentes"))))</f>
        <v>ACEPTABLE mantener las medidas de control existentes</v>
      </c>
      <c r="AM16" s="37" t="n">
        <f aca="false">(P16-AJ16)/(P16)</f>
        <v>1</v>
      </c>
      <c r="AN16" s="33"/>
      <c r="AO16" s="33"/>
      <c r="AP16" s="33"/>
      <c r="AQ16" s="33"/>
      <c r="AR16" s="33"/>
      <c r="AS16" s="33"/>
      <c r="AT16" s="33"/>
      <c r="AU16" s="33"/>
      <c r="AV16" s="34"/>
    </row>
    <row r="17" customFormat="false" ht="132" hidden="false" customHeight="true" outlineLevel="0" collapsed="false">
      <c r="A17" s="20"/>
      <c r="B17" s="43"/>
      <c r="C17" s="22" t="s">
        <v>119</v>
      </c>
      <c r="D17" s="23" t="s">
        <v>57</v>
      </c>
      <c r="E17" s="28" t="s">
        <v>69</v>
      </c>
      <c r="F17" s="23" t="s">
        <v>120</v>
      </c>
      <c r="G17" s="23" t="s">
        <v>121</v>
      </c>
      <c r="H17" s="23" t="s">
        <v>61</v>
      </c>
      <c r="I17" s="23" t="s">
        <v>61</v>
      </c>
      <c r="J17" s="23" t="s">
        <v>122</v>
      </c>
      <c r="K17" s="35" t="n">
        <v>2</v>
      </c>
      <c r="L17" s="35" t="n">
        <v>1</v>
      </c>
      <c r="M17" s="23" t="n">
        <f aca="false">K17*L17</f>
        <v>2</v>
      </c>
      <c r="N17" s="25" t="str">
        <f aca="false">IF(AND(M17&gt;=2,M17&lt;=4),"Bajo",IF(AND(M17&gt;=6,M17&lt;=8),"Medio",IF(AND(M17&gt;=10,M17&lt;=20),"Alto",IF(AND(M17&gt;=24,M17&lt;=40),"MuyAlto","No Especificado"))))</f>
        <v>Bajo</v>
      </c>
      <c r="O17" s="23" t="n">
        <v>10</v>
      </c>
      <c r="P17" s="23" t="n">
        <f aca="false">O17*M17</f>
        <v>20</v>
      </c>
      <c r="Q17" s="26" t="str">
        <f aca="false">IF(P17&gt;501, "I", IF(P17&gt;149, "II", IF(P17&gt;39, "III", "IV")))</f>
        <v>IV</v>
      </c>
      <c r="R17" s="27" t="str">
        <f aca="false">IF(OR(Q17="I"),"NO ACEPTABLE",IF(OR(Q17="II")," NO ACEPTABLE O ACEPTABLE con control especifico",IF(OR(Q17="III"),"MEJORABLE (Mejorar el control existente) ",IF(OR(Q17="IV"),"ACEPTABLE mantener las medidas de control existentes"))))</f>
        <v>ACEPTABLE mantener las medidas de control existentes</v>
      </c>
      <c r="S17" s="23" t="s">
        <v>123</v>
      </c>
      <c r="T17" s="23" t="n">
        <v>0</v>
      </c>
      <c r="U17" s="23" t="n">
        <v>1</v>
      </c>
      <c r="V17" s="23" t="n">
        <v>0</v>
      </c>
      <c r="W17" s="23" t="n">
        <v>0</v>
      </c>
      <c r="X17" s="23" t="n">
        <f aca="false">+T17+U17+V17+W17</f>
        <v>1</v>
      </c>
      <c r="Y17" s="22" t="s">
        <v>64</v>
      </c>
      <c r="Z17" s="22" t="s">
        <v>64</v>
      </c>
      <c r="AA17" s="22" t="s">
        <v>64</v>
      </c>
      <c r="AB17" s="23" t="s">
        <v>124</v>
      </c>
      <c r="AC17" s="22" t="s">
        <v>64</v>
      </c>
      <c r="AD17" s="23" t="s">
        <v>67</v>
      </c>
      <c r="AE17" s="27" t="n">
        <v>0</v>
      </c>
      <c r="AF17" s="27" t="n">
        <v>0</v>
      </c>
      <c r="AG17" s="29" t="n">
        <f aca="false">AF17*AE17</f>
        <v>0</v>
      </c>
      <c r="AH17" s="36" t="str">
        <f aca="false">IF(AND(AG17&gt;=2,AG17&lt;=4),"Bajo",IF(AND(AG17&gt;=6,AG17&lt;=8),"Medio",IF(AND(AG17&gt;=10,AG17&lt;=20),"Alto",IF(AND(AG17&gt;=24,AG17&lt;=40),"MuyAlto","No Especificado"))))</f>
        <v>No Especificado</v>
      </c>
      <c r="AI17" s="27" t="n">
        <f aca="false">O17</f>
        <v>10</v>
      </c>
      <c r="AJ17" s="27" t="n">
        <f aca="false">AI17*AG17</f>
        <v>0</v>
      </c>
      <c r="AK17" s="23" t="str">
        <f aca="false">IF(AJ17&gt;501, "I", IF(AJ17&gt;149, "II", IF(AJ17&gt;39, "III", "IV")))</f>
        <v>IV</v>
      </c>
      <c r="AL17" s="27" t="str">
        <f aca="false">IF(OR(AK17="I"),"NO ACEPTABLE",IF(OR(AK17="II")," NO ACEPTABLE O ACEPTABLE con control especifico",IF(OR(AK17="III"),"MEJORABLE (Mejorar el control existente) ",IF(OR(AK17="IV"),"ACEPTABLE mantener las medidas de control existentes"))))</f>
        <v>ACEPTABLE mantener las medidas de control existentes</v>
      </c>
      <c r="AM17" s="37" t="n">
        <f aca="false">(P17-AJ17)/(P17)</f>
        <v>1</v>
      </c>
      <c r="AN17" s="37"/>
      <c r="AO17" s="37"/>
      <c r="AP17" s="37"/>
      <c r="AQ17" s="33"/>
      <c r="AR17" s="33"/>
      <c r="AS17" s="33"/>
      <c r="AT17" s="33"/>
      <c r="AU17" s="33"/>
      <c r="AV17" s="34"/>
    </row>
    <row r="18" customFormat="false" ht="132" hidden="false" customHeight="true" outlineLevel="0" collapsed="false">
      <c r="A18" s="20"/>
      <c r="B18" s="43"/>
      <c r="C18" s="22" t="s">
        <v>125</v>
      </c>
      <c r="D18" s="23" t="s">
        <v>57</v>
      </c>
      <c r="E18" s="22" t="s">
        <v>74</v>
      </c>
      <c r="F18" s="22" t="s">
        <v>126</v>
      </c>
      <c r="G18" s="22" t="s">
        <v>127</v>
      </c>
      <c r="H18" s="22" t="s">
        <v>61</v>
      </c>
      <c r="I18" s="22" t="s">
        <v>61</v>
      </c>
      <c r="J18" s="22" t="s">
        <v>128</v>
      </c>
      <c r="K18" s="44" t="n">
        <v>2</v>
      </c>
      <c r="L18" s="44" t="n">
        <v>1</v>
      </c>
      <c r="M18" s="44" t="n">
        <f aca="false">+K18*L18</f>
        <v>2</v>
      </c>
      <c r="N18" s="25" t="str">
        <f aca="false">IF(AND(M18&gt;=2,M18&lt;=4),"Bajo",IF(AND(M18&gt;=6,M18&lt;=8),"Medio",IF(AND(M18&gt;=10,M18&lt;=20),"Alto",IF(AND(M18&gt;=24,M18&lt;=40),"MuyAlto","No Especificado"))))</f>
        <v>Bajo</v>
      </c>
      <c r="O18" s="44" t="n">
        <v>10</v>
      </c>
      <c r="P18" s="44" t="n">
        <f aca="false">M18*O18</f>
        <v>20</v>
      </c>
      <c r="Q18" s="26" t="str">
        <f aca="false">IF(P18&gt;501, "I", IF(P18&gt;149, "II", IF(P18&gt;39, "III", "IV")))</f>
        <v>IV</v>
      </c>
      <c r="R18" s="45" t="str">
        <f aca="false">IF(OR(Q18="I"),"NO ACEPTABLE",IF(OR(Q18="II")," NO ACEPTABLE O ACEPTABLE con control especifico",IF(OR(Q18="III"),"MEJORABLE (Mejorar el control existente) ",IF(OR(Q18="IV"),"ACEPTABLE mantener las medidas de control existentes"))))</f>
        <v>ACEPTABLE mantener las medidas de control existentes</v>
      </c>
      <c r="S18" s="23" t="s">
        <v>123</v>
      </c>
      <c r="T18" s="23" t="n">
        <v>0</v>
      </c>
      <c r="U18" s="23" t="n">
        <v>1</v>
      </c>
      <c r="V18" s="23" t="n">
        <v>0</v>
      </c>
      <c r="W18" s="23" t="n">
        <v>0</v>
      </c>
      <c r="X18" s="23" t="n">
        <f aca="false">+T18+U18+V18+W18</f>
        <v>1</v>
      </c>
      <c r="Y18" s="22" t="s">
        <v>64</v>
      </c>
      <c r="Z18" s="22" t="s">
        <v>64</v>
      </c>
      <c r="AA18" s="22" t="s">
        <v>64</v>
      </c>
      <c r="AB18" s="22" t="s">
        <v>129</v>
      </c>
      <c r="AC18" s="22" t="s">
        <v>64</v>
      </c>
      <c r="AD18" s="46" t="s">
        <v>94</v>
      </c>
      <c r="AE18" s="27" t="n">
        <v>0</v>
      </c>
      <c r="AF18" s="27" t="n">
        <v>0</v>
      </c>
      <c r="AG18" s="29" t="n">
        <f aca="false">AF18*AE18</f>
        <v>0</v>
      </c>
      <c r="AH18" s="36" t="str">
        <f aca="false">IF(AND(AG18&gt;=2,AG18&lt;=4),"Bajo",IF(AND(AG18&gt;=6,AG18&lt;=8),"Medio",IF(AND(AG18&gt;=10,AG18&lt;=20),"Alto",IF(AND(AG18&gt;=24,AG18&lt;=40),"MuyAlto","No Especificado"))))</f>
        <v>No Especificado</v>
      </c>
      <c r="AI18" s="27" t="n">
        <f aca="false">O18</f>
        <v>10</v>
      </c>
      <c r="AJ18" s="27" t="n">
        <f aca="false">AI18*AG18</f>
        <v>0</v>
      </c>
      <c r="AK18" s="23" t="str">
        <f aca="false">IF(AJ18&gt;501, "I", IF(AJ18&gt;149, "II", IF(AJ18&gt;39, "III", "IV")))</f>
        <v>IV</v>
      </c>
      <c r="AL18" s="27" t="str">
        <f aca="false">IF(OR(AK18="I"),"NO ACEPTABLE",IF(OR(AK18="II")," NO ACEPTABLE O ACEPTABLE con control especifico",IF(OR(AK18="III"),"MEJORABLE (Mejorar el control existente) ",IF(OR(AK18="IV"),"ACEPTABLE mantener las medidas de control existentes"))))</f>
        <v>ACEPTABLE mantener las medidas de control existentes</v>
      </c>
      <c r="AM18" s="37" t="n">
        <f aca="false">(P18-AJ18)/(P18)</f>
        <v>1</v>
      </c>
      <c r="AN18" s="47"/>
      <c r="AO18" s="47"/>
      <c r="AP18" s="48"/>
      <c r="AQ18" s="48"/>
      <c r="AR18" s="48"/>
      <c r="AS18" s="48"/>
      <c r="AT18" s="48"/>
      <c r="AU18" s="48"/>
      <c r="AV18" s="49"/>
    </row>
    <row r="19" customFormat="false" ht="115.5" hidden="false" customHeight="true" outlineLevel="0" collapsed="false">
      <c r="A19" s="20"/>
      <c r="B19" s="43"/>
      <c r="C19" s="22" t="s">
        <v>130</v>
      </c>
      <c r="D19" s="23" t="s">
        <v>57</v>
      </c>
      <c r="E19" s="22" t="s">
        <v>79</v>
      </c>
      <c r="F19" s="23" t="s">
        <v>80</v>
      </c>
      <c r="G19" s="23" t="s">
        <v>81</v>
      </c>
      <c r="H19" s="23" t="s">
        <v>61</v>
      </c>
      <c r="I19" s="23" t="s">
        <v>61</v>
      </c>
      <c r="J19" s="23" t="s">
        <v>61</v>
      </c>
      <c r="K19" s="23" t="n">
        <v>2</v>
      </c>
      <c r="L19" s="23" t="n">
        <v>2</v>
      </c>
      <c r="M19" s="23" t="n">
        <f aca="false">+K19*L19</f>
        <v>4</v>
      </c>
      <c r="N19" s="23" t="str">
        <f aca="false">IF(AND(M19&gt;=2,M19&lt;=4),"Bajo",IF(AND(M19&gt;=6,M19&lt;=8),"Medio",IF(AND(M19&gt;=10,M19&lt;=20),"Alto",IF(AND(M19&gt;=24,M19&lt;=40),"MuyAlto","No Especificado"))))</f>
        <v>Bajo</v>
      </c>
      <c r="O19" s="23" t="n">
        <v>25</v>
      </c>
      <c r="P19" s="23" t="n">
        <f aca="false">M19*O19</f>
        <v>100</v>
      </c>
      <c r="Q19" s="26" t="str">
        <f aca="false">IF(P19&gt;501, "I", IF(P19&gt;149, "II", IF(P19&gt;39, "III", "IV")))</f>
        <v>III</v>
      </c>
      <c r="R19" s="23" t="str">
        <f aca="false">IF(OR(Q19="I"),"NO ACEPTABLE",IF(OR(Q19="II")," NO ACEPTABLE O ACEPTABLE con control especifico",IF(OR(Q19="III"),"MEJORABLE (Mejorar el control existente) ",IF(OR(Q19="IV"),"ACEPTABLE mantener las medidas de control existentes"))))</f>
        <v>MEJORABLE (Mejorar el control existente) </v>
      </c>
      <c r="S19" s="23" t="s">
        <v>123</v>
      </c>
      <c r="T19" s="23" t="n">
        <v>0</v>
      </c>
      <c r="U19" s="23" t="n">
        <v>1</v>
      </c>
      <c r="V19" s="23" t="n">
        <v>0</v>
      </c>
      <c r="W19" s="23" t="n">
        <v>0</v>
      </c>
      <c r="X19" s="23" t="n">
        <f aca="false">+T19+U19+V19+W19</f>
        <v>1</v>
      </c>
      <c r="Y19" s="22" t="s">
        <v>64</v>
      </c>
      <c r="Z19" s="22" t="s">
        <v>64</v>
      </c>
      <c r="AA19" s="22" t="s">
        <v>64</v>
      </c>
      <c r="AB19" s="23" t="s">
        <v>131</v>
      </c>
      <c r="AC19" s="22" t="s">
        <v>64</v>
      </c>
      <c r="AD19" s="23" t="s">
        <v>67</v>
      </c>
      <c r="AE19" s="27" t="n">
        <v>0</v>
      </c>
      <c r="AF19" s="27" t="n">
        <v>0</v>
      </c>
      <c r="AG19" s="29" t="n">
        <f aca="false">AF19*AE19</f>
        <v>0</v>
      </c>
      <c r="AH19" s="36" t="str">
        <f aca="false">IF(AND(AG19&gt;=2,AG19&lt;=4),"Bajo",IF(AND(AG19&gt;=6,AG19&lt;=8),"Medio",IF(AND(AG19&gt;=10,AG19&lt;=20),"Alto",IF(AND(AG19&gt;=24,AG19&lt;=40),"MuyAlto","No Especificado"))))</f>
        <v>No Especificado</v>
      </c>
      <c r="AI19" s="27" t="n">
        <f aca="false">O19</f>
        <v>25</v>
      </c>
      <c r="AJ19" s="27" t="n">
        <f aca="false">AI19*AG19</f>
        <v>0</v>
      </c>
      <c r="AK19" s="23" t="str">
        <f aca="false">IF(AJ19&gt;501, "I", IF(AJ19&gt;149, "II", IF(AJ19&gt;39, "III", "IV")))</f>
        <v>IV</v>
      </c>
      <c r="AL19" s="27" t="str">
        <f aca="false">IF(OR(AK19="I"),"NO ACEPTABLE",IF(OR(AK19="II")," NO ACEPTABLE O ACEPTABLE con control especifico",IF(OR(AK19="III"),"MEJORABLE (Mejorar el control existente) ",IF(OR(AK19="IV"),"ACEPTABLE mantener las medidas de control existentes"))))</f>
        <v>ACEPTABLE mantener las medidas de control existentes</v>
      </c>
      <c r="AM19" s="37" t="n">
        <f aca="false">(P19-AJ19)/(P19)</f>
        <v>1</v>
      </c>
      <c r="AN19" s="39"/>
      <c r="AO19" s="39"/>
      <c r="AP19" s="39"/>
      <c r="AQ19" s="39"/>
      <c r="AR19" s="40"/>
      <c r="AS19" s="41"/>
      <c r="AT19" s="41"/>
      <c r="AU19" s="41"/>
      <c r="AV19" s="34"/>
    </row>
    <row r="20" customFormat="false" ht="82.5" hidden="false" customHeight="true" outlineLevel="0" collapsed="false">
      <c r="A20" s="20"/>
      <c r="B20" s="43"/>
      <c r="C20" s="22" t="s">
        <v>132</v>
      </c>
      <c r="D20" s="23" t="s">
        <v>57</v>
      </c>
      <c r="E20" s="22" t="s">
        <v>84</v>
      </c>
      <c r="F20" s="23" t="s">
        <v>133</v>
      </c>
      <c r="G20" s="23" t="s">
        <v>134</v>
      </c>
      <c r="H20" s="23" t="s">
        <v>61</v>
      </c>
      <c r="I20" s="23" t="s">
        <v>61</v>
      </c>
      <c r="J20" s="23" t="s">
        <v>61</v>
      </c>
      <c r="K20" s="35" t="n">
        <v>2</v>
      </c>
      <c r="L20" s="35" t="n">
        <v>3</v>
      </c>
      <c r="M20" s="23" t="n">
        <f aca="false">+K20*L20</f>
        <v>6</v>
      </c>
      <c r="N20" s="25" t="str">
        <f aca="false">IF(AND(M20&gt;=2,M20&lt;=4),"Bajo",IF(AND(M20&gt;=6,M20&lt;=8),"Medio",IF(AND(M20&gt;=10,M20&lt;=20),"Alto",IF(AND(M20&gt;=24,M20&lt;=40),"MuyAlto","No Especificado"))))</f>
        <v>Medio</v>
      </c>
      <c r="O20" s="23" t="n">
        <v>10</v>
      </c>
      <c r="P20" s="23" t="n">
        <f aca="false">+O20*M20</f>
        <v>60</v>
      </c>
      <c r="Q20" s="26" t="str">
        <f aca="false">IF(P20&gt;501, "I", IF(P20&gt;149, "II", IF(P20&gt;39, "III", "IV")))</f>
        <v>III</v>
      </c>
      <c r="R20" s="23" t="str">
        <f aca="false">IF(OR(Q20="I"),"NO ACEPTABLE",IF(OR(Q20="II")," NO ACEPTABLE O ACEPTABLE con control especifico",IF(OR(Q20="III"),"MEJORABLE (Mejorar el control existente) ",IF(OR(Q20="IV"),"ACEPTABLE mantener las medidas de control existentes"))))</f>
        <v>MEJORABLE (Mejorar el control existente) </v>
      </c>
      <c r="S20" s="23" t="s">
        <v>123</v>
      </c>
      <c r="T20" s="23" t="n">
        <v>0</v>
      </c>
      <c r="U20" s="23" t="n">
        <v>1</v>
      </c>
      <c r="V20" s="23" t="n">
        <v>0</v>
      </c>
      <c r="W20" s="23" t="n">
        <v>0</v>
      </c>
      <c r="X20" s="23" t="n">
        <f aca="false">+T20+U20+V20+W20</f>
        <v>1</v>
      </c>
      <c r="Y20" s="22" t="s">
        <v>64</v>
      </c>
      <c r="Z20" s="22" t="s">
        <v>64</v>
      </c>
      <c r="AA20" s="22" t="s">
        <v>64</v>
      </c>
      <c r="AB20" s="23" t="s">
        <v>135</v>
      </c>
      <c r="AC20" s="23" t="s">
        <v>93</v>
      </c>
      <c r="AD20" s="23" t="s">
        <v>67</v>
      </c>
      <c r="AE20" s="27" t="n">
        <v>0</v>
      </c>
      <c r="AF20" s="27" t="n">
        <v>0</v>
      </c>
      <c r="AG20" s="29" t="n">
        <f aca="false">AF20*AE20</f>
        <v>0</v>
      </c>
      <c r="AH20" s="36" t="str">
        <f aca="false">IF(AND(AG20&gt;=2,AG20&lt;=4),"Bajo",IF(AND(AG20&gt;=6,AG20&lt;=8),"Medio",IF(AND(AG20&gt;=10,AG20&lt;=20),"Alto",IF(AND(AG20&gt;=24,AG20&lt;=40),"MuyAlto","No Especificado"))))</f>
        <v>No Especificado</v>
      </c>
      <c r="AI20" s="27" t="n">
        <f aca="false">O20</f>
        <v>10</v>
      </c>
      <c r="AJ20" s="27" t="n">
        <f aca="false">AI20*AG20</f>
        <v>0</v>
      </c>
      <c r="AK20" s="23" t="str">
        <f aca="false">IF(AJ20&gt;501, "I", IF(AJ20&gt;149, "II", IF(AJ20&gt;39, "III", "IV")))</f>
        <v>IV</v>
      </c>
      <c r="AL20" s="27" t="str">
        <f aca="false">IF(OR(AK20="I"),"NO ACEPTABLE",IF(OR(AK20="II")," NO ACEPTABLE O ACEPTABLE con control especifico",IF(OR(AK20="III"),"MEJORABLE (Mejorar el control existente) ",IF(OR(AK20="IV"),"ACEPTABLE mantener las medidas de control existentes"))))</f>
        <v>ACEPTABLE mantener las medidas de control existentes</v>
      </c>
      <c r="AM20" s="37" t="n">
        <f aca="false">(P20-AJ20)/(P20)</f>
        <v>1</v>
      </c>
      <c r="AN20" s="39"/>
      <c r="AO20" s="39"/>
      <c r="AP20" s="39"/>
      <c r="AQ20" s="39"/>
      <c r="AR20" s="40"/>
      <c r="AS20" s="41"/>
      <c r="AT20" s="41"/>
      <c r="AU20" s="41"/>
      <c r="AV20" s="34"/>
    </row>
    <row r="21" customFormat="false" ht="82.5" hidden="false" customHeight="true" outlineLevel="0" collapsed="false">
      <c r="A21" s="20"/>
      <c r="B21" s="43"/>
      <c r="C21" s="22" t="s">
        <v>136</v>
      </c>
      <c r="D21" s="23" t="s">
        <v>57</v>
      </c>
      <c r="E21" s="22" t="s">
        <v>137</v>
      </c>
      <c r="F21" s="23" t="s">
        <v>138</v>
      </c>
      <c r="G21" s="23" t="s">
        <v>139</v>
      </c>
      <c r="H21" s="23" t="s">
        <v>61</v>
      </c>
      <c r="I21" s="23" t="s">
        <v>61</v>
      </c>
      <c r="J21" s="23" t="s">
        <v>140</v>
      </c>
      <c r="K21" s="23" t="n">
        <v>2</v>
      </c>
      <c r="L21" s="23" t="n">
        <v>3</v>
      </c>
      <c r="M21" s="23" t="n">
        <f aca="false">+K21*L21</f>
        <v>6</v>
      </c>
      <c r="N21" s="25" t="str">
        <f aca="false">IF(AND(M21&gt;=2,M21&lt;=4),"Bajo",IF(AND(M21&gt;=6,M21&lt;=8),"Medio",IF(AND(M21&gt;=10,M21&lt;=20),"Alto",IF(AND(M21&gt;=24,M21&lt;=40),"MuyAlto","No Especificado"))))</f>
        <v>Medio</v>
      </c>
      <c r="O21" s="23" t="n">
        <v>10</v>
      </c>
      <c r="P21" s="23" t="n">
        <f aca="false">+O21*M21</f>
        <v>60</v>
      </c>
      <c r="Q21" s="26" t="str">
        <f aca="false">IF(P21&gt;501, "I", IF(P21&gt;149, "II", IF(P21&gt;39, "III", "IV")))</f>
        <v>III</v>
      </c>
      <c r="R21" s="23" t="str">
        <f aca="false">IF(OR(Q21="I"),"NO ACEPTABLE",IF(OR(Q21="II")," NO ACEPTABLE O ACEPTABLE con control especifico",IF(OR(Q21="III"),"MEJORABLE (Mejorar el control existente) ",IF(OR(Q21="IV"),"ACEPTABLE mantener las medidas de control existentes"))))</f>
        <v>MEJORABLE (Mejorar el control existente) </v>
      </c>
      <c r="S21" s="23" t="s">
        <v>123</v>
      </c>
      <c r="T21" s="23" t="n">
        <v>0</v>
      </c>
      <c r="U21" s="23" t="n">
        <v>1</v>
      </c>
      <c r="V21" s="23" t="n">
        <v>0</v>
      </c>
      <c r="W21" s="23" t="n">
        <v>0</v>
      </c>
      <c r="X21" s="23" t="n">
        <f aca="false">+T21+U21+V21+W21</f>
        <v>1</v>
      </c>
      <c r="Y21" s="22" t="s">
        <v>64</v>
      </c>
      <c r="Z21" s="22" t="s">
        <v>64</v>
      </c>
      <c r="AA21" s="22" t="s">
        <v>64</v>
      </c>
      <c r="AB21" s="23" t="s">
        <v>141</v>
      </c>
      <c r="AC21" s="22" t="s">
        <v>142</v>
      </c>
      <c r="AD21" s="23" t="s">
        <v>67</v>
      </c>
      <c r="AE21" s="27" t="n">
        <v>0</v>
      </c>
      <c r="AF21" s="27" t="n">
        <v>0</v>
      </c>
      <c r="AG21" s="29" t="n">
        <f aca="false">AF21*AE21</f>
        <v>0</v>
      </c>
      <c r="AH21" s="36" t="str">
        <f aca="false">IF(AND(AG21&gt;=2,AG21&lt;=4),"Bajo",IF(AND(AG21&gt;=6,AG21&lt;=8),"Medio",IF(AND(AG21&gt;=10,AG21&lt;=20),"Alto",IF(AND(AG21&gt;=24,AG21&lt;=40),"MuyAlto","No Especificado"))))</f>
        <v>No Especificado</v>
      </c>
      <c r="AI21" s="27" t="n">
        <f aca="false">O21</f>
        <v>10</v>
      </c>
      <c r="AJ21" s="27" t="n">
        <f aca="false">AI21*AG21</f>
        <v>0</v>
      </c>
      <c r="AK21" s="23" t="str">
        <f aca="false">IF(AJ21&gt;501, "I", IF(AJ21&gt;149, "II", IF(AJ21&gt;39, "III", "IV")))</f>
        <v>IV</v>
      </c>
      <c r="AL21" s="27" t="str">
        <f aca="false">IF(OR(AK21="I"),"NO ACEPTABLE",IF(OR(AK21="II")," NO ACEPTABLE O ACEPTABLE con control especifico",IF(OR(AK21="III"),"MEJORABLE (Mejorar el control existente) ",IF(OR(AK21="IV"),"ACEPTABLE mantener las medidas de control existentes"))))</f>
        <v>ACEPTABLE mantener las medidas de control existentes</v>
      </c>
      <c r="AM21" s="37" t="n">
        <f aca="false">(P21-AJ21)/(P21)</f>
        <v>1</v>
      </c>
      <c r="AN21" s="39"/>
      <c r="AO21" s="39"/>
      <c r="AP21" s="39"/>
      <c r="AQ21" s="39"/>
      <c r="AR21" s="40"/>
      <c r="AS21" s="41"/>
      <c r="AT21" s="41"/>
      <c r="AU21" s="41"/>
      <c r="AV21" s="34"/>
    </row>
    <row r="22" customFormat="false" ht="313.5" hidden="false" customHeight="true" outlineLevel="0" collapsed="false">
      <c r="A22" s="20"/>
      <c r="B22" s="43"/>
      <c r="C22" s="22" t="s">
        <v>143</v>
      </c>
      <c r="D22" s="23" t="s">
        <v>57</v>
      </c>
      <c r="E22" s="22" t="s">
        <v>144</v>
      </c>
      <c r="F22" s="23" t="s">
        <v>145</v>
      </c>
      <c r="G22" s="22" t="s">
        <v>146</v>
      </c>
      <c r="H22" s="23" t="s">
        <v>61</v>
      </c>
      <c r="I22" s="23" t="s">
        <v>61</v>
      </c>
      <c r="J22" s="23" t="s">
        <v>61</v>
      </c>
      <c r="K22" s="23" t="n">
        <v>6</v>
      </c>
      <c r="L22" s="23" t="n">
        <v>2</v>
      </c>
      <c r="M22" s="23" t="n">
        <f aca="false">+K22*L22</f>
        <v>12</v>
      </c>
      <c r="N22" s="25" t="str">
        <f aca="false">IF(AND(M22&gt;=2,M22&lt;=4),"Bajo",IF(AND(M22&gt;=6,M22&lt;=8),"Medio",IF(AND(M22&gt;=10,M22&lt;=20),"Alto",IF(AND(M22&gt;=24,M22&lt;=40),"MuyAlto","No Especificado"))))</f>
        <v>Alto</v>
      </c>
      <c r="O22" s="23" t="n">
        <v>60</v>
      </c>
      <c r="P22" s="23" t="n">
        <f aca="false">M22*O22</f>
        <v>720</v>
      </c>
      <c r="Q22" s="26" t="str">
        <f aca="false">IF(P22&gt;501, "I", IF(P22&gt;149, "II", IF(P22&gt;39, "III", "IV")))</f>
        <v>I</v>
      </c>
      <c r="R22" s="23" t="str">
        <f aca="false">IF(OR(Q22="I"),"NO ACEPTABLE",IF(OR(Q22="II")," NO ACEPTABLE O ACEPTABLE con control especifico",IF(OR(Q22="III"),"MEJORABLE (Mejorar el control existente) ",IF(OR(Q22="IV"),"ACEPTABLE mantener las medidas de control existentes"))))</f>
        <v>NO ACEPTABLE</v>
      </c>
      <c r="S22" s="23" t="s">
        <v>123</v>
      </c>
      <c r="T22" s="23" t="n">
        <v>0</v>
      </c>
      <c r="U22" s="23" t="n">
        <v>1</v>
      </c>
      <c r="V22" s="23" t="n">
        <v>0</v>
      </c>
      <c r="W22" s="23" t="n">
        <v>0</v>
      </c>
      <c r="X22" s="23" t="n">
        <f aca="false">+T22+U22+V22+W22</f>
        <v>1</v>
      </c>
      <c r="Y22" s="22" t="s">
        <v>64</v>
      </c>
      <c r="Z22" s="22" t="s">
        <v>64</v>
      </c>
      <c r="AA22" s="22" t="s">
        <v>147</v>
      </c>
      <c r="AB22" s="22" t="s">
        <v>148</v>
      </c>
      <c r="AC22" s="22" t="s">
        <v>149</v>
      </c>
      <c r="AD22" s="23" t="s">
        <v>67</v>
      </c>
      <c r="AE22" s="27" t="n">
        <v>2</v>
      </c>
      <c r="AF22" s="27" t="n">
        <v>3</v>
      </c>
      <c r="AG22" s="29" t="n">
        <f aca="false">AF22*AE22</f>
        <v>6</v>
      </c>
      <c r="AH22" s="36" t="str">
        <f aca="false">IF(AND(AG22&gt;=2,AG22&lt;=4),"Bajo",IF(AND(AG22&gt;=6,AG22&lt;=8),"Medio",IF(AND(AG22&gt;=10,AG22&lt;=20),"Alto",IF(AND(AG22&gt;=24,AG22&lt;=40),"MuyAlto","No Especificado"))))</f>
        <v>Medio</v>
      </c>
      <c r="AI22" s="27" t="n">
        <f aca="false">O22</f>
        <v>60</v>
      </c>
      <c r="AJ22" s="27" t="n">
        <f aca="false">AI22*AG22</f>
        <v>360</v>
      </c>
      <c r="AK22" s="23" t="str">
        <f aca="false">IF(AJ22&gt;501, "I", IF(AJ22&gt;149, "II", IF(AJ22&gt;39, "III", "IV")))</f>
        <v>II</v>
      </c>
      <c r="AL22" s="27" t="str">
        <f aca="false">IF(OR(AK22="I"),"NO ACEPTABLE",IF(OR(AK22="II")," NO ACEPTABLE O ACEPTABLE con control especifico",IF(OR(AK22="III"),"MEJORABLE (Mejorar el control existente) ",IF(OR(AK22="IV"),"ACEPTABLE mantener las medidas de control existentes"))))</f>
        <v> NO ACEPTABLE O ACEPTABLE con control especifico</v>
      </c>
      <c r="AM22" s="37" t="n">
        <f aca="false">(P22-AJ22)/(P22)</f>
        <v>0.5</v>
      </c>
      <c r="AN22" s="33"/>
      <c r="AO22" s="33"/>
      <c r="AP22" s="33"/>
      <c r="AQ22" s="33"/>
      <c r="AR22" s="33"/>
      <c r="AS22" s="33"/>
      <c r="AT22" s="33"/>
      <c r="AU22" s="33"/>
      <c r="AV22" s="34"/>
    </row>
    <row r="23" customFormat="false" ht="99" hidden="false" customHeight="true" outlineLevel="0" collapsed="false">
      <c r="A23" s="20"/>
      <c r="B23" s="43"/>
      <c r="C23" s="22" t="s">
        <v>150</v>
      </c>
      <c r="D23" s="23" t="s">
        <v>57</v>
      </c>
      <c r="E23" s="22" t="s">
        <v>114</v>
      </c>
      <c r="F23" s="22" t="s">
        <v>151</v>
      </c>
      <c r="G23" s="22" t="s">
        <v>152</v>
      </c>
      <c r="H23" s="23" t="s">
        <v>61</v>
      </c>
      <c r="I23" s="23" t="s">
        <v>61</v>
      </c>
      <c r="J23" s="23" t="s">
        <v>61</v>
      </c>
      <c r="K23" s="23" t="n">
        <v>6</v>
      </c>
      <c r="L23" s="23" t="n">
        <v>2</v>
      </c>
      <c r="M23" s="23" t="n">
        <f aca="false">+K23*L23</f>
        <v>12</v>
      </c>
      <c r="N23" s="23" t="str">
        <f aca="false">IF(AND(M23&gt;=2,M23&lt;=4),"Bajo",IF(AND(M23&gt;=6,M23&lt;=8),"Medio",IF(AND(M23&gt;=10,M23&lt;=20),"Alto",IF(AND(M23&gt;=24,M23&lt;=40),"MuyAlto","No Especificado"))))</f>
        <v>Alto</v>
      </c>
      <c r="O23" s="23" t="n">
        <v>60</v>
      </c>
      <c r="P23" s="23" t="n">
        <f aca="false">M23*O23</f>
        <v>720</v>
      </c>
      <c r="Q23" s="26" t="str">
        <f aca="false">IF(P23&gt;501, "I", IF(P23&gt;149, "II", IF(P23&gt;39, "III", "IV")))</f>
        <v>I</v>
      </c>
      <c r="R23" s="27" t="str">
        <f aca="false">IF(OR(Q23="I"),"NO ACEPTABLE",IF(OR(Q23="II")," NO ACEPTABLE O ACEPTABLE con control especifico",IF(OR(Q23="III"),"MEJORABLE (Mejorar el control existente) ",IF(OR(Q23="IV"),"ACEPTABLE mantener las medidas de control existentes"))))</f>
        <v>NO ACEPTABLE</v>
      </c>
      <c r="S23" s="23" t="s">
        <v>123</v>
      </c>
      <c r="T23" s="23" t="n">
        <v>0</v>
      </c>
      <c r="U23" s="23" t="n">
        <v>1</v>
      </c>
      <c r="V23" s="23" t="n">
        <v>0</v>
      </c>
      <c r="W23" s="23" t="n">
        <v>0</v>
      </c>
      <c r="X23" s="23" t="n">
        <f aca="false">+T23+U23+V23+W23</f>
        <v>1</v>
      </c>
      <c r="Y23" s="22" t="s">
        <v>64</v>
      </c>
      <c r="Z23" s="22" t="s">
        <v>64</v>
      </c>
      <c r="AA23" s="22" t="s">
        <v>153</v>
      </c>
      <c r="AB23" s="22" t="s">
        <v>154</v>
      </c>
      <c r="AC23" s="22" t="s">
        <v>155</v>
      </c>
      <c r="AD23" s="23" t="s">
        <v>67</v>
      </c>
      <c r="AE23" s="27" t="n">
        <v>0</v>
      </c>
      <c r="AF23" s="27" t="n">
        <v>0</v>
      </c>
      <c r="AG23" s="29" t="n">
        <f aca="false">AF23*AE23</f>
        <v>0</v>
      </c>
      <c r="AH23" s="36" t="str">
        <f aca="false">IF(AND(AG23&gt;=2,AG23&lt;=4),"Bajo",IF(AND(AG23&gt;=6,AG23&lt;=8),"Medio",IF(AND(AG23&gt;=10,AG23&lt;=20),"Alto",IF(AND(AG23&gt;=24,AG23&lt;=40),"MuyAlto","No Especificado"))))</f>
        <v>No Especificado</v>
      </c>
      <c r="AI23" s="27" t="n">
        <f aca="false">O23</f>
        <v>60</v>
      </c>
      <c r="AJ23" s="27" t="n">
        <f aca="false">AI23*AG23</f>
        <v>0</v>
      </c>
      <c r="AK23" s="23" t="str">
        <f aca="false">IF(AJ23&gt;501, "I", IF(AJ23&gt;149, "II", IF(AJ23&gt;39, "III", "IV")))</f>
        <v>IV</v>
      </c>
      <c r="AL23" s="27" t="str">
        <f aca="false">IF(OR(AK23="I"),"NO ACEPTABLE",IF(OR(AK23="II")," NO ACEPTABLE O ACEPTABLE con control especifico",IF(OR(AK23="III"),"MEJORABLE (Mejorar el control existente) ",IF(OR(AK23="IV"),"ACEPTABLE mantener las medidas de control existentes"))))</f>
        <v>ACEPTABLE mantener las medidas de control existentes</v>
      </c>
      <c r="AM23" s="37" t="n">
        <f aca="false">(P23-AJ23)/(P23)</f>
        <v>1</v>
      </c>
      <c r="AN23" s="33"/>
      <c r="AO23" s="33"/>
      <c r="AP23" s="33"/>
      <c r="AQ23" s="33"/>
      <c r="AR23" s="33"/>
      <c r="AS23" s="33"/>
      <c r="AT23" s="33"/>
      <c r="AU23" s="33"/>
      <c r="AV23" s="34"/>
    </row>
    <row r="24" customFormat="false" ht="82.5" hidden="false" customHeight="true" outlineLevel="0" collapsed="false">
      <c r="A24" s="20"/>
      <c r="B24" s="43"/>
      <c r="C24" s="42" t="s">
        <v>106</v>
      </c>
      <c r="D24" s="23" t="s">
        <v>107</v>
      </c>
      <c r="E24" s="28" t="s">
        <v>108</v>
      </c>
      <c r="F24" s="22" t="s">
        <v>109</v>
      </c>
      <c r="G24" s="24" t="s">
        <v>110</v>
      </c>
      <c r="H24" s="23" t="s">
        <v>61</v>
      </c>
      <c r="I24" s="23" t="s">
        <v>61</v>
      </c>
      <c r="J24" s="23" t="s">
        <v>61</v>
      </c>
      <c r="K24" s="35" t="n">
        <v>2</v>
      </c>
      <c r="L24" s="35" t="n">
        <v>3</v>
      </c>
      <c r="M24" s="23" t="n">
        <f aca="false">+K24*L24</f>
        <v>6</v>
      </c>
      <c r="N24" s="25" t="str">
        <f aca="false">IF(AND(M24&gt;=2,M24&lt;=4),"Bajo",IF(AND(M24&gt;=6,M24&lt;=8),"Medio",IF(AND(M24&gt;=10,M24&lt;=20),"Alto",IF(AND(M24&gt;=24,M24&lt;=40),"MuyAlto","No Especificado"))))</f>
        <v>Medio</v>
      </c>
      <c r="O24" s="23" t="n">
        <v>10</v>
      </c>
      <c r="P24" s="23" t="n">
        <f aca="false">+O24*M24</f>
        <v>60</v>
      </c>
      <c r="Q24" s="26" t="str">
        <f aca="false">IF(P24&gt;501, "I", IF(P24&gt;149, "II", IF(P24&gt;39, "III", "IV")))</f>
        <v>III</v>
      </c>
      <c r="R24" s="23" t="str">
        <f aca="false">IF(OR(Q24="I"),"NO ACEPTABLE",IF(OR(Q24="II")," NO ACEPTABLE O ACEPTABLE con control especifico",IF(OR(Q24="III"),"MEJORABLE (Mejorar el control existente) ",IF(OR(Q24="IV"),"ACEPTABLE mantener las medidas de control existentes"))))</f>
        <v>MEJORABLE (Mejorar el control existente) </v>
      </c>
      <c r="S24" s="23" t="s">
        <v>123</v>
      </c>
      <c r="T24" s="23" t="n">
        <v>0</v>
      </c>
      <c r="U24" s="23" t="n">
        <v>1</v>
      </c>
      <c r="V24" s="23" t="n">
        <v>0</v>
      </c>
      <c r="W24" s="23" t="n">
        <v>0</v>
      </c>
      <c r="X24" s="23" t="n">
        <f aca="false">+T24+U24+V24+W24</f>
        <v>1</v>
      </c>
      <c r="Y24" s="22" t="s">
        <v>64</v>
      </c>
      <c r="Z24" s="22" t="s">
        <v>64</v>
      </c>
      <c r="AA24" s="22" t="s">
        <v>64</v>
      </c>
      <c r="AB24" s="23" t="s">
        <v>111</v>
      </c>
      <c r="AC24" s="22" t="s">
        <v>64</v>
      </c>
      <c r="AD24" s="23" t="s">
        <v>67</v>
      </c>
      <c r="AE24" s="27" t="n">
        <v>0</v>
      </c>
      <c r="AF24" s="27" t="n">
        <v>0</v>
      </c>
      <c r="AG24" s="29" t="n">
        <f aca="false">AF24*AE24</f>
        <v>0</v>
      </c>
      <c r="AH24" s="36" t="str">
        <f aca="false">IF(AND(AG24&gt;=2,AG24&lt;=4),"Bajo",IF(AND(AG24&gt;=6,AG24&lt;=8),"Medio",IF(AND(AG24&gt;=10,AG24&lt;=20),"Alto",IF(AND(AG24&gt;=24,AG24&lt;=40),"MuyAlto","No Especificado"))))</f>
        <v>No Especificado</v>
      </c>
      <c r="AI24" s="27" t="n">
        <f aca="false">O24</f>
        <v>10</v>
      </c>
      <c r="AJ24" s="27" t="n">
        <f aca="false">AI24*AG24</f>
        <v>0</v>
      </c>
      <c r="AK24" s="23" t="str">
        <f aca="false">IF(AJ24&gt;501, "I", IF(AJ24&gt;149, "II", IF(AJ24&gt;39, "III", "IV")))</f>
        <v>IV</v>
      </c>
      <c r="AL24" s="27" t="str">
        <f aca="false">IF(OR(AK24="I"),"NO ACEPTABLE",IF(OR(AK24="II")," NO ACEPTABLE O ACEPTABLE con control especifico",IF(OR(AK24="III"),"MEJORABLE (Mejorar el control existente) ",IF(OR(AK24="IV"),"ACEPTABLE mantener las medidas de control existentes"))))</f>
        <v>ACEPTABLE mantener las medidas de control existentes</v>
      </c>
      <c r="AM24" s="37" t="n">
        <f aca="false">(P24-AJ24)/(P24)</f>
        <v>1</v>
      </c>
      <c r="AN24" s="37"/>
      <c r="AO24" s="37"/>
      <c r="AP24" s="33"/>
      <c r="AQ24" s="33"/>
      <c r="AR24" s="33"/>
      <c r="AS24" s="33"/>
      <c r="AT24" s="33"/>
      <c r="AU24" s="33"/>
      <c r="AV24" s="34"/>
    </row>
    <row r="25" customFormat="false" ht="82.5" hidden="false" customHeight="true" outlineLevel="0" collapsed="false">
      <c r="A25" s="20"/>
      <c r="B25" s="43"/>
      <c r="C25" s="22" t="s">
        <v>156</v>
      </c>
      <c r="D25" s="23" t="s">
        <v>57</v>
      </c>
      <c r="E25" s="22" t="s">
        <v>157</v>
      </c>
      <c r="F25" s="22" t="s">
        <v>158</v>
      </c>
      <c r="G25" s="22" t="s">
        <v>159</v>
      </c>
      <c r="H25" s="23" t="s">
        <v>61</v>
      </c>
      <c r="I25" s="23" t="s">
        <v>61</v>
      </c>
      <c r="J25" s="23" t="s">
        <v>61</v>
      </c>
      <c r="K25" s="23" t="n">
        <v>2</v>
      </c>
      <c r="L25" s="23" t="n">
        <v>2</v>
      </c>
      <c r="M25" s="23" t="n">
        <f aca="false">+K25*L25</f>
        <v>4</v>
      </c>
      <c r="N25" s="23" t="str">
        <f aca="false">IF(AND(M25&gt;=2,M25&lt;=4),"Bajo",IF(AND(M25&gt;=6,M25&lt;=8),"Medio",IF(AND(M25&gt;=10,M25&lt;=20),"Alto",IF(AND(M25&gt;=24,M25&lt;=40),"MuyAlto","No Especificado"))))</f>
        <v>Bajo</v>
      </c>
      <c r="O25" s="23" t="n">
        <v>25</v>
      </c>
      <c r="P25" s="23" t="n">
        <f aca="false">M25*O25</f>
        <v>100</v>
      </c>
      <c r="Q25" s="26" t="str">
        <f aca="false">IF(P25&gt;501, "I", IF(P25&gt;149, "II", IF(P25&gt;39, "III", "IV")))</f>
        <v>III</v>
      </c>
      <c r="R25" s="27" t="str">
        <f aca="false">IF(OR(Q25="I"),"NO ACEPTABLE",IF(OR(Q25="II")," NO ACEPTABLE O ACEPTABLE con control especifico",IF(OR(Q25="III"),"MEJORABLE (Mejorar el control existente) ",IF(OR(Q25="IV"),"ACEPTABLE mantener las medidas de control existentes"))))</f>
        <v>MEJORABLE (Mejorar el control existente) </v>
      </c>
      <c r="S25" s="23" t="s">
        <v>123</v>
      </c>
      <c r="T25" s="23" t="n">
        <v>0</v>
      </c>
      <c r="U25" s="23" t="n">
        <v>1</v>
      </c>
      <c r="V25" s="23" t="n">
        <v>0</v>
      </c>
      <c r="W25" s="23" t="n">
        <v>0</v>
      </c>
      <c r="X25" s="23" t="n">
        <f aca="false">+T25+U25+V25+W25</f>
        <v>1</v>
      </c>
      <c r="Y25" s="22" t="s">
        <v>64</v>
      </c>
      <c r="Z25" s="22" t="s">
        <v>64</v>
      </c>
      <c r="AA25" s="22" t="s">
        <v>64</v>
      </c>
      <c r="AB25" s="22" t="s">
        <v>160</v>
      </c>
      <c r="AC25" s="22" t="s">
        <v>161</v>
      </c>
      <c r="AD25" s="23" t="s">
        <v>67</v>
      </c>
      <c r="AE25" s="27" t="n">
        <v>0</v>
      </c>
      <c r="AF25" s="27" t="n">
        <v>0</v>
      </c>
      <c r="AG25" s="29" t="n">
        <f aca="false">AF25*AE25</f>
        <v>0</v>
      </c>
      <c r="AH25" s="36" t="str">
        <f aca="false">IF(AND(AG25&gt;=2,AG25&lt;=4),"Bajo",IF(AND(AG25&gt;=6,AG25&lt;=8),"Medio",IF(AND(AG25&gt;=10,AG25&lt;=20),"Alto",IF(AND(AG25&gt;=24,AG25&lt;=40),"MuyAlto","No Especificado"))))</f>
        <v>No Especificado</v>
      </c>
      <c r="AI25" s="27" t="n">
        <f aca="false">O25</f>
        <v>25</v>
      </c>
      <c r="AJ25" s="27" t="n">
        <f aca="false">AI25*AG25</f>
        <v>0</v>
      </c>
      <c r="AK25" s="23" t="str">
        <f aca="false">IF(AJ25&gt;501, "I", IF(AJ25&gt;149, "II", IF(AJ25&gt;39, "III", "IV")))</f>
        <v>IV</v>
      </c>
      <c r="AL25" s="27" t="str">
        <f aca="false">IF(OR(AK25="I"),"NO ACEPTABLE",IF(OR(AK25="II")," NO ACEPTABLE O ACEPTABLE con control especifico",IF(OR(AK25="III"),"MEJORABLE (Mejorar el control existente) ",IF(OR(AK25="IV"),"ACEPTABLE mantener las medidas de control existentes"))))</f>
        <v>ACEPTABLE mantener las medidas de control existentes</v>
      </c>
      <c r="AM25" s="37" t="n">
        <f aca="false">(P25-AJ25)/(P25)</f>
        <v>1</v>
      </c>
      <c r="AN25" s="33"/>
      <c r="AO25" s="33"/>
      <c r="AP25" s="33"/>
      <c r="AQ25" s="33"/>
      <c r="AR25" s="33"/>
      <c r="AS25" s="33"/>
      <c r="AT25" s="33"/>
      <c r="AU25" s="33"/>
      <c r="AV25" s="34"/>
    </row>
    <row r="26" customFormat="false" ht="99" hidden="false" customHeight="true" outlineLevel="0" collapsed="false">
      <c r="A26" s="20"/>
      <c r="B26" s="43"/>
      <c r="C26" s="22" t="s">
        <v>162</v>
      </c>
      <c r="D26" s="23" t="s">
        <v>57</v>
      </c>
      <c r="E26" s="22" t="s">
        <v>163</v>
      </c>
      <c r="F26" s="22" t="s">
        <v>164</v>
      </c>
      <c r="G26" s="22" t="s">
        <v>165</v>
      </c>
      <c r="H26" s="23" t="s">
        <v>61</v>
      </c>
      <c r="I26" s="23" t="s">
        <v>61</v>
      </c>
      <c r="J26" s="23" t="s">
        <v>61</v>
      </c>
      <c r="K26" s="23" t="n">
        <v>2</v>
      </c>
      <c r="L26" s="23" t="n">
        <v>3</v>
      </c>
      <c r="M26" s="23" t="n">
        <f aca="false">+K26*L26</f>
        <v>6</v>
      </c>
      <c r="N26" s="23" t="str">
        <f aca="false">IF(AND(M26&gt;=2,M26&lt;=4),"Bajo",IF(AND(M26&gt;=6,M26&lt;=8),"Medio",IF(AND(M26&gt;=10,M26&lt;=20),"Alto",IF(AND(M26&gt;=24,M26&lt;=40),"MuyAlto","No Especificado"))))</f>
        <v>Medio</v>
      </c>
      <c r="O26" s="23" t="n">
        <v>10</v>
      </c>
      <c r="P26" s="23" t="n">
        <f aca="false">M26*O26</f>
        <v>60</v>
      </c>
      <c r="Q26" s="26" t="str">
        <f aca="false">IF(P26&gt;501, "I", IF(P26&gt;149, "II", IF(P26&gt;39, "III", "IV")))</f>
        <v>III</v>
      </c>
      <c r="R26" s="27" t="str">
        <f aca="false">IF(OR(Q26="I"),"NO ACEPTABLE",IF(OR(Q26="II")," NO ACEPTABLE O ACEPTABLE con control especifico",IF(OR(Q26="III"),"MEJORABLE (Mejorar el control existente) ",IF(OR(Q26="IV"),"ACEPTABLE mantener las medidas de control existentes"))))</f>
        <v>MEJORABLE (Mejorar el control existente) </v>
      </c>
      <c r="S26" s="23" t="s">
        <v>123</v>
      </c>
      <c r="T26" s="23" t="n">
        <v>0</v>
      </c>
      <c r="U26" s="23" t="n">
        <v>1</v>
      </c>
      <c r="V26" s="23" t="n">
        <v>0</v>
      </c>
      <c r="W26" s="23" t="n">
        <v>0</v>
      </c>
      <c r="X26" s="23" t="n">
        <f aca="false">+T26+U26+V26+W26</f>
        <v>1</v>
      </c>
      <c r="Y26" s="22" t="s">
        <v>64</v>
      </c>
      <c r="Z26" s="22" t="s">
        <v>64</v>
      </c>
      <c r="AA26" s="22" t="s">
        <v>64</v>
      </c>
      <c r="AB26" s="22" t="s">
        <v>166</v>
      </c>
      <c r="AC26" s="22" t="s">
        <v>167</v>
      </c>
      <c r="AD26" s="23" t="s">
        <v>67</v>
      </c>
      <c r="AE26" s="27" t="n">
        <v>0</v>
      </c>
      <c r="AF26" s="27" t="n">
        <v>0</v>
      </c>
      <c r="AG26" s="29" t="n">
        <f aca="false">AF26*AE26</f>
        <v>0</v>
      </c>
      <c r="AH26" s="36" t="str">
        <f aca="false">IF(AND(AG26&gt;=2,AG26&lt;=4),"Bajo",IF(AND(AG26&gt;=6,AG26&lt;=8),"Medio",IF(AND(AG26&gt;=10,AG26&lt;=20),"Alto",IF(AND(AG26&gt;=24,AG26&lt;=40),"MuyAlto","No Especificado"))))</f>
        <v>No Especificado</v>
      </c>
      <c r="AI26" s="27" t="n">
        <f aca="false">O26</f>
        <v>10</v>
      </c>
      <c r="AJ26" s="27" t="n">
        <f aca="false">AI26*AG26</f>
        <v>0</v>
      </c>
      <c r="AK26" s="23" t="str">
        <f aca="false">IF(AJ26&gt;501, "I", IF(AJ26&gt;149, "II", IF(AJ26&gt;39, "III", "IV")))</f>
        <v>IV</v>
      </c>
      <c r="AL26" s="27" t="str">
        <f aca="false">IF(OR(AK26="I"),"NO ACEPTABLE",IF(OR(AK26="II")," NO ACEPTABLE O ACEPTABLE con control especifico",IF(OR(AK26="III"),"MEJORABLE (Mejorar el control existente) ",IF(OR(AK26="IV"),"ACEPTABLE mantener las medidas de control existentes"))))</f>
        <v>ACEPTABLE mantener las medidas de control existentes</v>
      </c>
      <c r="AM26" s="37" t="n">
        <f aca="false">(P26-AJ26)/(P26)</f>
        <v>1</v>
      </c>
      <c r="AN26" s="33"/>
      <c r="AO26" s="33"/>
      <c r="AP26" s="33"/>
      <c r="AQ26" s="33"/>
      <c r="AR26" s="33"/>
      <c r="AS26" s="33"/>
      <c r="AT26" s="33"/>
      <c r="AU26" s="33"/>
      <c r="AV26" s="34"/>
    </row>
    <row r="27" customFormat="false" ht="132" hidden="false" customHeight="true" outlineLevel="0" collapsed="false">
      <c r="A27" s="20"/>
      <c r="B27" s="43"/>
      <c r="C27" s="50" t="s">
        <v>168</v>
      </c>
      <c r="D27" s="51" t="s">
        <v>57</v>
      </c>
      <c r="E27" s="50" t="s">
        <v>169</v>
      </c>
      <c r="F27" s="50" t="s">
        <v>85</v>
      </c>
      <c r="G27" s="50" t="s">
        <v>86</v>
      </c>
      <c r="H27" s="23" t="s">
        <v>61</v>
      </c>
      <c r="I27" s="23" t="s">
        <v>61</v>
      </c>
      <c r="J27" s="23" t="s">
        <v>61</v>
      </c>
      <c r="K27" s="51" t="n">
        <v>2</v>
      </c>
      <c r="L27" s="51" t="n">
        <v>3</v>
      </c>
      <c r="M27" s="51" t="n">
        <f aca="false">+K27*L27</f>
        <v>6</v>
      </c>
      <c r="N27" s="51" t="str">
        <f aca="false">IF(AND(M27&gt;=2,M27&lt;=4),"Bajo",IF(AND(M27&gt;=6,M27&lt;=8),"Medio",IF(AND(M27&gt;=10,M27&lt;=20),"Alto",IF(AND(M27&gt;=24,M27&lt;=40),"MuyAlto","No Especificado"))))</f>
        <v>Medio</v>
      </c>
      <c r="O27" s="51" t="n">
        <v>25</v>
      </c>
      <c r="P27" s="51" t="n">
        <f aca="false">M27*O27</f>
        <v>150</v>
      </c>
      <c r="Q27" s="52" t="str">
        <f aca="false">IF(P27&gt;501, "I", IF(P27&gt;149, "II", IF(P27&gt;39, "III", "IV")))</f>
        <v>II</v>
      </c>
      <c r="R27" s="53" t="str">
        <f aca="false">IF(OR(Q27="I"),"NO ACEPTABLE",IF(OR(Q27="II")," NO ACEPTABLE O ACEPTABLE con control especifico",IF(OR(Q27="III"),"MEJORABLE (Mejorar el control existente) ",IF(OR(Q27="IV"),"ACEPTABLE mantener las medidas de control existentes"))))</f>
        <v> NO ACEPTABLE O ACEPTABLE con control especifico</v>
      </c>
      <c r="S27" s="23" t="s">
        <v>123</v>
      </c>
      <c r="T27" s="23" t="n">
        <v>0</v>
      </c>
      <c r="U27" s="23" t="n">
        <v>1</v>
      </c>
      <c r="V27" s="23" t="n">
        <v>0</v>
      </c>
      <c r="W27" s="23" t="n">
        <v>0</v>
      </c>
      <c r="X27" s="23" t="n">
        <f aca="false">+T27+U27+V27+W27</f>
        <v>1</v>
      </c>
      <c r="Y27" s="22" t="s">
        <v>64</v>
      </c>
      <c r="Z27" s="22" t="s">
        <v>64</v>
      </c>
      <c r="AA27" s="50" t="s">
        <v>170</v>
      </c>
      <c r="AB27" s="50" t="s">
        <v>171</v>
      </c>
      <c r="AC27" s="50" t="s">
        <v>172</v>
      </c>
      <c r="AD27" s="51" t="s">
        <v>67</v>
      </c>
      <c r="AE27" s="27" t="n">
        <v>0</v>
      </c>
      <c r="AF27" s="27" t="n">
        <v>0</v>
      </c>
      <c r="AG27" s="29" t="n">
        <f aca="false">AF27*AE27</f>
        <v>0</v>
      </c>
      <c r="AH27" s="36" t="str">
        <f aca="false">IF(AND(AG27&gt;=2,AG27&lt;=4),"Bajo",IF(AND(AG27&gt;=6,AG27&lt;=8),"Medio",IF(AND(AG27&gt;=10,AG27&lt;=20),"Alto",IF(AND(AG27&gt;=24,AG27&lt;=40),"MuyAlto","No Especificado"))))</f>
        <v>No Especificado</v>
      </c>
      <c r="AI27" s="27" t="n">
        <f aca="false">O27</f>
        <v>25</v>
      </c>
      <c r="AJ27" s="27" t="n">
        <f aca="false">AI27*AG27</f>
        <v>0</v>
      </c>
      <c r="AK27" s="23" t="str">
        <f aca="false">IF(AJ27&gt;501, "I", IF(AJ27&gt;149, "II", IF(AJ27&gt;39, "III", "IV")))</f>
        <v>IV</v>
      </c>
      <c r="AL27" s="27" t="str">
        <f aca="false">IF(OR(AK27="I"),"NO ACEPTABLE",IF(OR(AK27="II")," NO ACEPTABLE O ACEPTABLE con control especifico",IF(OR(AK27="III"),"MEJORABLE (Mejorar el control existente) ",IF(OR(AK27="IV"),"ACEPTABLE mantener las medidas de control existentes"))))</f>
        <v>ACEPTABLE mantener las medidas de control existentes</v>
      </c>
      <c r="AM27" s="37" t="n">
        <f aca="false">(P27-AJ27)/(P27)</f>
        <v>1</v>
      </c>
      <c r="AN27" s="54"/>
      <c r="AO27" s="54"/>
      <c r="AP27" s="54"/>
      <c r="AQ27" s="54"/>
      <c r="AR27" s="54"/>
      <c r="AS27" s="54"/>
      <c r="AT27" s="54"/>
      <c r="AU27" s="54"/>
      <c r="AV27" s="34"/>
    </row>
    <row r="28" customFormat="false" ht="132" hidden="false" customHeight="true" outlineLevel="0" collapsed="false">
      <c r="A28" s="20"/>
      <c r="B28" s="43"/>
      <c r="C28" s="22" t="s">
        <v>173</v>
      </c>
      <c r="D28" s="23" t="s">
        <v>57</v>
      </c>
      <c r="E28" s="22" t="s">
        <v>169</v>
      </c>
      <c r="F28" s="22" t="s">
        <v>90</v>
      </c>
      <c r="G28" s="22" t="s">
        <v>174</v>
      </c>
      <c r="H28" s="23" t="s">
        <v>61</v>
      </c>
      <c r="I28" s="23" t="s">
        <v>61</v>
      </c>
      <c r="J28" s="23" t="s">
        <v>61</v>
      </c>
      <c r="K28" s="51" t="n">
        <v>2</v>
      </c>
      <c r="L28" s="51" t="n">
        <v>3</v>
      </c>
      <c r="M28" s="51" t="n">
        <f aca="false">+K28*L28</f>
        <v>6</v>
      </c>
      <c r="N28" s="51" t="str">
        <f aca="false">IF(AND(M28&gt;=2,M28&lt;=4),"Bajo",IF(AND(M28&gt;=6,M28&lt;=8),"Medio",IF(AND(M28&gt;=10,M28&lt;=20),"Alto",IF(AND(M28&gt;=24,M28&lt;=40),"MuyAlto","No Especificado"))))</f>
        <v>Medio</v>
      </c>
      <c r="O28" s="51" t="n">
        <v>25</v>
      </c>
      <c r="P28" s="51" t="n">
        <f aca="false">M28*O28</f>
        <v>150</v>
      </c>
      <c r="Q28" s="52" t="str">
        <f aca="false">IF(P28&gt;501, "I", IF(P28&gt;149, "II", IF(P28&gt;39, "III", "IV")))</f>
        <v>II</v>
      </c>
      <c r="R28" s="53" t="str">
        <f aca="false">IF(OR(Q28="I"),"NO ACEPTABLE",IF(OR(Q28="II")," NO ACEPTABLE O ACEPTABLE con control especifico",IF(OR(Q28="III"),"MEJORABLE (Mejorar el control existente) ",IF(OR(Q28="IV"),"ACEPTABLE mantener las medidas de control existentes"))))</f>
        <v> NO ACEPTABLE O ACEPTABLE con control especifico</v>
      </c>
      <c r="S28" s="23" t="s">
        <v>123</v>
      </c>
      <c r="T28" s="23" t="n">
        <v>0</v>
      </c>
      <c r="U28" s="23" t="n">
        <v>1</v>
      </c>
      <c r="V28" s="23" t="n">
        <v>0</v>
      </c>
      <c r="W28" s="23" t="n">
        <v>0</v>
      </c>
      <c r="X28" s="23" t="n">
        <f aca="false">+T28+U28+V28+W28</f>
        <v>1</v>
      </c>
      <c r="Y28" s="22" t="s">
        <v>64</v>
      </c>
      <c r="Z28" s="22" t="s">
        <v>64</v>
      </c>
      <c r="AA28" s="50" t="s">
        <v>175</v>
      </c>
      <c r="AB28" s="50" t="s">
        <v>171</v>
      </c>
      <c r="AC28" s="50" t="s">
        <v>172</v>
      </c>
      <c r="AD28" s="51" t="s">
        <v>67</v>
      </c>
      <c r="AE28" s="27" t="n">
        <v>0</v>
      </c>
      <c r="AF28" s="27" t="n">
        <v>0</v>
      </c>
      <c r="AG28" s="29" t="n">
        <f aca="false">AF28*AE28</f>
        <v>0</v>
      </c>
      <c r="AH28" s="36" t="str">
        <f aca="false">IF(AND(AG28&gt;=2,AG28&lt;=4),"Bajo",IF(AND(AG28&gt;=6,AG28&lt;=8),"Medio",IF(AND(AG28&gt;=10,AG28&lt;=20),"Alto",IF(AND(AG28&gt;=24,AG28&lt;=40),"MuyAlto","No Especificado"))))</f>
        <v>No Especificado</v>
      </c>
      <c r="AI28" s="27" t="n">
        <f aca="false">O28</f>
        <v>25</v>
      </c>
      <c r="AJ28" s="27" t="n">
        <f aca="false">AI28*AG28</f>
        <v>0</v>
      </c>
      <c r="AK28" s="23" t="str">
        <f aca="false">IF(AJ28&gt;501, "I", IF(AJ28&gt;149, "II", IF(AJ28&gt;39, "III", "IV")))</f>
        <v>IV</v>
      </c>
      <c r="AL28" s="27" t="str">
        <f aca="false">IF(OR(AK28="I"),"NO ACEPTABLE",IF(OR(AK28="II")," NO ACEPTABLE O ACEPTABLE con control especifico",IF(OR(AK28="III"),"MEJORABLE (Mejorar el control existente) ",IF(OR(AK28="IV"),"ACEPTABLE mantener las medidas de control existentes"))))</f>
        <v>ACEPTABLE mantener las medidas de control existentes</v>
      </c>
      <c r="AM28" s="37" t="n">
        <f aca="false">(P28-AJ28)/(P28)</f>
        <v>1</v>
      </c>
      <c r="AN28" s="54"/>
      <c r="AO28" s="54"/>
      <c r="AP28" s="54"/>
      <c r="AQ28" s="54"/>
      <c r="AR28" s="54"/>
      <c r="AS28" s="54"/>
      <c r="AT28" s="54"/>
      <c r="AU28" s="54"/>
      <c r="AV28" s="34"/>
    </row>
    <row r="29" customFormat="false" ht="132" hidden="false" customHeight="true" outlineLevel="0" collapsed="false">
      <c r="A29" s="20"/>
      <c r="B29" s="43"/>
      <c r="C29" s="55" t="s">
        <v>176</v>
      </c>
      <c r="D29" s="55" t="s">
        <v>177</v>
      </c>
      <c r="E29" s="55" t="s">
        <v>178</v>
      </c>
      <c r="F29" s="55" t="s">
        <v>179</v>
      </c>
      <c r="G29" s="55" t="s">
        <v>180</v>
      </c>
      <c r="H29" s="31" t="s">
        <v>61</v>
      </c>
      <c r="I29" s="23" t="s">
        <v>61</v>
      </c>
      <c r="J29" s="23" t="s">
        <v>61</v>
      </c>
      <c r="K29" s="23" t="n">
        <v>6</v>
      </c>
      <c r="L29" s="23" t="n">
        <v>3</v>
      </c>
      <c r="M29" s="23" t="n">
        <f aca="false">+K29*L29</f>
        <v>18</v>
      </c>
      <c r="N29" s="23" t="str">
        <f aca="false">IF(AND(M29&gt;=2,M29&lt;=4),"Bajo",IF(AND(M29&gt;=6,M29&lt;=8),"Medio",IF(AND(M29&gt;=10,M29&lt;=20),"Alto",IF(AND(M29&gt;=24,M29&lt;=40),"MuyAlto","No Especificado"))))</f>
        <v>Alto</v>
      </c>
      <c r="O29" s="23" t="n">
        <v>10</v>
      </c>
      <c r="P29" s="23" t="n">
        <f aca="false">M29*O29</f>
        <v>180</v>
      </c>
      <c r="Q29" s="26" t="str">
        <f aca="false">IF(P29&gt;501, "I", IF(P29&gt;149, "II", IF(P29&gt;39, "III", "IV")))</f>
        <v>II</v>
      </c>
      <c r="R29" s="27" t="str">
        <f aca="false">IF(OR(Q29="I"),"NO ACEPTABLE",IF(OR(Q29="II")," NO ACEPTABLE O ACEPTABLE con control especifico",IF(OR(Q29="III"),"MEJORABLE (Mejorar el control existente) ",IF(OR(Q29="IV"),"ACEPTABLE mantener las medidas de control existentes"))))</f>
        <v> NO ACEPTABLE O ACEPTABLE con control especifico</v>
      </c>
      <c r="S29" s="23" t="s">
        <v>123</v>
      </c>
      <c r="T29" s="23" t="n">
        <v>0</v>
      </c>
      <c r="U29" s="23" t="n">
        <v>1</v>
      </c>
      <c r="V29" s="23" t="n">
        <v>0</v>
      </c>
      <c r="W29" s="23" t="n">
        <v>0</v>
      </c>
      <c r="X29" s="23" t="n">
        <f aca="false">+T29+U29+V29+W29</f>
        <v>1</v>
      </c>
      <c r="Y29" s="22" t="s">
        <v>64</v>
      </c>
      <c r="Z29" s="22" t="s">
        <v>64</v>
      </c>
      <c r="AA29" s="22" t="s">
        <v>64</v>
      </c>
      <c r="AB29" s="50" t="s">
        <v>181</v>
      </c>
      <c r="AC29" s="50" t="s">
        <v>182</v>
      </c>
      <c r="AD29" s="51" t="s">
        <v>67</v>
      </c>
      <c r="AE29" s="27" t="n">
        <v>0</v>
      </c>
      <c r="AF29" s="27" t="n">
        <v>0</v>
      </c>
      <c r="AG29" s="29" t="n">
        <f aca="false">AF29*AE29</f>
        <v>0</v>
      </c>
      <c r="AH29" s="36" t="str">
        <f aca="false">IF(AND(AG29&gt;=2,AG29&lt;=4),"Bajo",IF(AND(AG29&gt;=6,AG29&lt;=8),"Medio",IF(AND(AG29&gt;=10,AG29&lt;=20),"Alto",IF(AND(AG29&gt;=24,AG29&lt;=40),"MuyAlto","No Especificado"))))</f>
        <v>No Especificado</v>
      </c>
      <c r="AI29" s="27" t="n">
        <f aca="false">O29</f>
        <v>10</v>
      </c>
      <c r="AJ29" s="27" t="n">
        <f aca="false">AI29*AG29</f>
        <v>0</v>
      </c>
      <c r="AK29" s="23" t="str">
        <f aca="false">IF(AJ29&gt;501, "I", IF(AJ29&gt;149, "II", IF(AJ29&gt;39, "III", "IV")))</f>
        <v>IV</v>
      </c>
      <c r="AL29" s="27" t="str">
        <f aca="false">IF(OR(AK29="I"),"NO ACEPTABLE",IF(OR(AK29="II")," NO ACEPTABLE O ACEPTABLE con control especifico",IF(OR(AK29="III"),"MEJORABLE (Mejorar el control existente) ",IF(OR(AK29="IV"),"ACEPTABLE mantener las medidas de control existentes"))))</f>
        <v>ACEPTABLE mantener las medidas de control existentes</v>
      </c>
      <c r="AM29" s="37" t="n">
        <f aca="false">(P29-AJ29)/(P29)</f>
        <v>1</v>
      </c>
      <c r="AN29" s="54"/>
      <c r="AO29" s="54"/>
      <c r="AP29" s="54"/>
      <c r="AQ29" s="54"/>
      <c r="AR29" s="54"/>
      <c r="AS29" s="54"/>
      <c r="AT29" s="54"/>
      <c r="AU29" s="54"/>
      <c r="AV29" s="34"/>
    </row>
    <row r="30" customFormat="false" ht="115.5" hidden="false" customHeight="true" outlineLevel="0" collapsed="false">
      <c r="A30" s="20"/>
      <c r="B30" s="43"/>
      <c r="C30" s="22" t="s">
        <v>183</v>
      </c>
      <c r="D30" s="22" t="s">
        <v>177</v>
      </c>
      <c r="E30" s="22" t="s">
        <v>184</v>
      </c>
      <c r="F30" s="22" t="s">
        <v>185</v>
      </c>
      <c r="G30" s="22" t="s">
        <v>186</v>
      </c>
      <c r="H30" s="23" t="s">
        <v>61</v>
      </c>
      <c r="I30" s="23" t="s">
        <v>61</v>
      </c>
      <c r="J30" s="23" t="s">
        <v>187</v>
      </c>
      <c r="K30" s="23" t="n">
        <v>2</v>
      </c>
      <c r="L30" s="23" t="n">
        <v>3</v>
      </c>
      <c r="M30" s="23" t="n">
        <f aca="false">+K30*L30</f>
        <v>6</v>
      </c>
      <c r="N30" s="25" t="str">
        <f aca="false">IF(AND(M30&gt;=2,M30&lt;=4),"Bajo",IF(AND(M30&gt;=6,M30&lt;=8),"Medio",IF(AND(M30&gt;=10,M30&lt;=20),"Alto",IF(AND(M30&gt;=24,M30&lt;=40),"MuyAlto","No Especificado"))))</f>
        <v>Medio</v>
      </c>
      <c r="O30" s="23" t="n">
        <v>10</v>
      </c>
      <c r="P30" s="23" t="n">
        <f aca="false">M30*O30</f>
        <v>60</v>
      </c>
      <c r="Q30" s="26" t="str">
        <f aca="false">IF(P30&gt;501, "I", IF(P30&gt;149, "II", IF(P30&gt;39, "III", "IV")))</f>
        <v>III</v>
      </c>
      <c r="R30" s="27" t="str">
        <f aca="false">IF(OR(Q30="I"),"NO ACEPTABLE",IF(OR(Q30="II")," NO ACEPTABLE O ACEPTABLE con control especifico",IF(OR(Q30="III"),"MEJORABLE (Mejorar el control existente) ",IF(OR(Q30="IV"),"ACEPTABLE mantener las medidas de control existentes"))))</f>
        <v>MEJORABLE (Mejorar el control existente) </v>
      </c>
      <c r="S30" s="23" t="s">
        <v>123</v>
      </c>
      <c r="T30" s="23" t="n">
        <v>0</v>
      </c>
      <c r="U30" s="23" t="n">
        <v>1</v>
      </c>
      <c r="V30" s="23" t="n">
        <v>0</v>
      </c>
      <c r="W30" s="23" t="n">
        <v>0</v>
      </c>
      <c r="X30" s="23" t="n">
        <f aca="false">+T30+U30+V30+W30</f>
        <v>1</v>
      </c>
      <c r="Y30" s="22" t="s">
        <v>64</v>
      </c>
      <c r="Z30" s="22" t="s">
        <v>64</v>
      </c>
      <c r="AA30" s="22" t="s">
        <v>64</v>
      </c>
      <c r="AB30" s="50" t="s">
        <v>188</v>
      </c>
      <c r="AC30" s="50" t="s">
        <v>189</v>
      </c>
      <c r="AD30" s="51" t="s">
        <v>67</v>
      </c>
      <c r="AE30" s="27" t="n">
        <v>0</v>
      </c>
      <c r="AF30" s="27" t="n">
        <v>0</v>
      </c>
      <c r="AG30" s="29" t="n">
        <f aca="false">AF30*AE30</f>
        <v>0</v>
      </c>
      <c r="AH30" s="36" t="str">
        <f aca="false">IF(AND(AG30&gt;=2,AG30&lt;=4),"Bajo",IF(AND(AG30&gt;=6,AG30&lt;=8),"Medio",IF(AND(AG30&gt;=10,AG30&lt;=20),"Alto",IF(AND(AG30&gt;=24,AG30&lt;=40),"MuyAlto","No Especificado"))))</f>
        <v>No Especificado</v>
      </c>
      <c r="AI30" s="27" t="n">
        <f aca="false">O30</f>
        <v>10</v>
      </c>
      <c r="AJ30" s="27" t="n">
        <f aca="false">AI30*AG30</f>
        <v>0</v>
      </c>
      <c r="AK30" s="23" t="str">
        <f aca="false">IF(AJ30&gt;501, "I", IF(AJ30&gt;149, "II", IF(AJ30&gt;39, "III", "IV")))</f>
        <v>IV</v>
      </c>
      <c r="AL30" s="27" t="str">
        <f aca="false">IF(OR(AK30="I"),"NO ACEPTABLE",IF(OR(AK30="II")," NO ACEPTABLE O ACEPTABLE con control especifico",IF(OR(AK30="III"),"MEJORABLE (Mejorar el control existente) ",IF(OR(AK30="IV"),"ACEPTABLE mantener las medidas de control existentes"))))</f>
        <v>ACEPTABLE mantener las medidas de control existentes</v>
      </c>
      <c r="AM30" s="37" t="n">
        <f aca="false">(P30-AJ30)/(P30)</f>
        <v>1</v>
      </c>
      <c r="AN30" s="54"/>
      <c r="AO30" s="54"/>
      <c r="AP30" s="54"/>
      <c r="AQ30" s="54"/>
      <c r="AR30" s="54"/>
      <c r="AS30" s="54"/>
      <c r="AT30" s="54"/>
      <c r="AU30" s="54"/>
      <c r="AV30" s="34"/>
    </row>
    <row r="31" customFormat="false" ht="82.5" hidden="false" customHeight="true" outlineLevel="0" collapsed="false">
      <c r="A31" s="20"/>
      <c r="B31" s="43"/>
      <c r="C31" s="22" t="s">
        <v>73</v>
      </c>
      <c r="D31" s="23" t="s">
        <v>57</v>
      </c>
      <c r="E31" s="23" t="s">
        <v>74</v>
      </c>
      <c r="F31" s="23" t="s">
        <v>75</v>
      </c>
      <c r="G31" s="23" t="s">
        <v>76</v>
      </c>
      <c r="H31" s="23" t="s">
        <v>61</v>
      </c>
      <c r="I31" s="23" t="s">
        <v>61</v>
      </c>
      <c r="J31" s="23" t="s">
        <v>61</v>
      </c>
      <c r="K31" s="35" t="n">
        <v>2</v>
      </c>
      <c r="L31" s="35" t="n">
        <v>3</v>
      </c>
      <c r="M31" s="23" t="n">
        <f aca="false">K31*L31</f>
        <v>6</v>
      </c>
      <c r="N31" s="25" t="str">
        <f aca="false">IF(AND(M31&gt;=2,M31&lt;=4),"Bajo",IF(AND(M31&gt;=6,M31&lt;=8),"Medio",IF(AND(M31&gt;=10,M31&lt;=20),"Alto",IF(AND(M31&gt;=24,M31&lt;=40),"MuyAlto","No Especificado"))))</f>
        <v>Medio</v>
      </c>
      <c r="O31" s="23" t="n">
        <v>10</v>
      </c>
      <c r="P31" s="23" t="n">
        <f aca="false">+O31*M31</f>
        <v>60</v>
      </c>
      <c r="Q31" s="26" t="str">
        <f aca="false">IF(P31&gt;501, "I", IF(P31&gt;149, "II", IF(P31&gt;39, "III", "IV")))</f>
        <v>III</v>
      </c>
      <c r="R31" s="27" t="str">
        <f aca="false">IF(OR(Q31="I"),"NO ACEPTABLE",IF(OR(Q31="II")," NO ACEPTABLE O ACEPTABLE con control especifico",IF(OR(Q31="III"),"MEJORABLE (Mejorar el control existente) ",IF(OR(Q31="IV"),"ACEPTABLE mantener las medidas de control existentes"))))</f>
        <v>MEJORABLE (Mejorar el control existente) </v>
      </c>
      <c r="S31" s="23" t="s">
        <v>190</v>
      </c>
      <c r="T31" s="23" t="n">
        <v>0</v>
      </c>
      <c r="U31" s="28" t="n">
        <v>6</v>
      </c>
      <c r="V31" s="23" t="n">
        <v>0</v>
      </c>
      <c r="W31" s="23" t="n">
        <v>0</v>
      </c>
      <c r="X31" s="28" t="n">
        <v>6</v>
      </c>
      <c r="Y31" s="22" t="s">
        <v>64</v>
      </c>
      <c r="Z31" s="22" t="s">
        <v>64</v>
      </c>
      <c r="AA31" s="22" t="s">
        <v>64</v>
      </c>
      <c r="AB31" s="22" t="s">
        <v>77</v>
      </c>
      <c r="AC31" s="22" t="s">
        <v>64</v>
      </c>
      <c r="AD31" s="23" t="s">
        <v>67</v>
      </c>
      <c r="AE31" s="27" t="n">
        <v>0</v>
      </c>
      <c r="AF31" s="27" t="n">
        <v>0</v>
      </c>
      <c r="AG31" s="29" t="n">
        <f aca="false">AF31*AE31</f>
        <v>0</v>
      </c>
      <c r="AH31" s="36" t="str">
        <f aca="false">IF(AND(AG31&gt;=2,AG31&lt;=4),"Bajo",IF(AND(AG31&gt;=6,AG31&lt;=8),"Medio",IF(AND(AG31&gt;=10,AG31&lt;=20),"Alto",IF(AND(AG31&gt;=24,AG31&lt;=40),"MuyAlto","No Especificado"))))</f>
        <v>No Especificado</v>
      </c>
      <c r="AI31" s="27" t="n">
        <f aca="false">O31</f>
        <v>10</v>
      </c>
      <c r="AJ31" s="27" t="n">
        <f aca="false">AI31*AG31</f>
        <v>0</v>
      </c>
      <c r="AK31" s="23" t="str">
        <f aca="false">IF(AJ31&gt;501, "I", IF(AJ31&gt;149, "II", IF(AJ31&gt;39, "III", "IV")))</f>
        <v>IV</v>
      </c>
      <c r="AL31" s="27" t="str">
        <f aca="false">IF(OR(AK31="I"),"NO ACEPTABLE",IF(OR(AK31="II")," NO ACEPTABLE O ACEPTABLE con control especifico",IF(OR(AK31="III"),"MEJORABLE (Mejorar el control existente) ",IF(OR(AK31="IV"),"ACEPTABLE mantener las medidas de control existentes"))))</f>
        <v>ACEPTABLE mantener las medidas de control existentes</v>
      </c>
      <c r="AM31" s="37" t="n">
        <f aca="false">(P31-AJ31)/(P31)</f>
        <v>1</v>
      </c>
      <c r="AN31" s="54"/>
      <c r="AO31" s="54"/>
      <c r="AP31" s="54"/>
      <c r="AQ31" s="54"/>
      <c r="AR31" s="54"/>
      <c r="AS31" s="54"/>
      <c r="AT31" s="54"/>
      <c r="AU31" s="54"/>
      <c r="AV31" s="34"/>
    </row>
    <row r="32" customFormat="false" ht="132" hidden="false" customHeight="true" outlineLevel="0" collapsed="false">
      <c r="A32" s="20"/>
      <c r="B32" s="43" t="s">
        <v>191</v>
      </c>
      <c r="C32" s="22" t="s">
        <v>192</v>
      </c>
      <c r="D32" s="23" t="s">
        <v>57</v>
      </c>
      <c r="E32" s="22" t="s">
        <v>69</v>
      </c>
      <c r="F32" s="22" t="s">
        <v>193</v>
      </c>
      <c r="G32" s="22" t="s">
        <v>194</v>
      </c>
      <c r="H32" s="23" t="s">
        <v>61</v>
      </c>
      <c r="I32" s="23" t="s">
        <v>61</v>
      </c>
      <c r="J32" s="23" t="s">
        <v>61</v>
      </c>
      <c r="K32" s="51" t="n">
        <v>2</v>
      </c>
      <c r="L32" s="51" t="n">
        <v>3</v>
      </c>
      <c r="M32" s="51" t="n">
        <f aca="false">+K32*L32</f>
        <v>6</v>
      </c>
      <c r="N32" s="51" t="str">
        <f aca="false">IF(AND(M32&gt;=2,M32&lt;=4),"Bajo",IF(AND(M32&gt;=6,M32&lt;=8),"Medio",IF(AND(M32&gt;=10,M32&lt;=20),"Alto",IF(AND(M32&gt;=24,M32&lt;=40),"MuyAlto","No Especificado"))))</f>
        <v>Medio</v>
      </c>
      <c r="O32" s="51" t="n">
        <v>25</v>
      </c>
      <c r="P32" s="51" t="n">
        <f aca="false">M32*O32</f>
        <v>150</v>
      </c>
      <c r="Q32" s="52" t="str">
        <f aca="false">IF(P32&gt;501, "I", IF(P32&gt;149, "II", IF(P32&gt;39, "III", "IV")))</f>
        <v>II</v>
      </c>
      <c r="R32" s="53" t="str">
        <f aca="false">IF(OR(Q32="I"),"NO ACEPTABLE",IF(OR(Q32="II")," NO ACEPTABLE O ACEPTABLE con control especifico",IF(OR(Q32="III"),"MEJORABLE (Mejorar el control existente) ",IF(OR(Q32="IV"),"ACEPTABLE mantener las medidas de control existentes"))))</f>
        <v> NO ACEPTABLE O ACEPTABLE con control especifico</v>
      </c>
      <c r="S32" s="23" t="s">
        <v>195</v>
      </c>
      <c r="T32" s="23" t="n">
        <v>0</v>
      </c>
      <c r="U32" s="23" t="n">
        <v>3</v>
      </c>
      <c r="V32" s="23" t="n">
        <v>0</v>
      </c>
      <c r="W32" s="23" t="n">
        <v>0</v>
      </c>
      <c r="X32" s="23" t="n">
        <f aca="false">+T32+U32+V32+W32</f>
        <v>3</v>
      </c>
      <c r="Y32" s="22" t="s">
        <v>64</v>
      </c>
      <c r="Z32" s="22" t="s">
        <v>64</v>
      </c>
      <c r="AA32" s="22" t="s">
        <v>64</v>
      </c>
      <c r="AB32" s="23" t="s">
        <v>196</v>
      </c>
      <c r="AC32" s="22" t="s">
        <v>64</v>
      </c>
      <c r="AD32" s="23" t="s">
        <v>67</v>
      </c>
      <c r="AE32" s="27" t="n">
        <v>0</v>
      </c>
      <c r="AF32" s="27" t="n">
        <v>0</v>
      </c>
      <c r="AG32" s="29" t="n">
        <f aca="false">AF32*AE32</f>
        <v>0</v>
      </c>
      <c r="AH32" s="36" t="str">
        <f aca="false">IF(AND(AG32&gt;=2,AG32&lt;=4),"Bajo",IF(AND(AG32&gt;=6,AG32&lt;=8),"Medio",IF(AND(AG32&gt;=10,AG32&lt;=20),"Alto",IF(AND(AG32&gt;=24,AG32&lt;=40),"MuyAlto","No Especificado"))))</f>
        <v>No Especificado</v>
      </c>
      <c r="AI32" s="27" t="n">
        <f aca="false">O32</f>
        <v>25</v>
      </c>
      <c r="AJ32" s="27" t="n">
        <f aca="false">AI32*AG32</f>
        <v>0</v>
      </c>
      <c r="AK32" s="23" t="str">
        <f aca="false">IF(AJ32&gt;501, "I", IF(AJ32&gt;149, "II", IF(AJ32&gt;39, "III", "IV")))</f>
        <v>IV</v>
      </c>
      <c r="AL32" s="27" t="str">
        <f aca="false">IF(OR(AK32="I"),"NO ACEPTABLE",IF(OR(AK32="II")," NO ACEPTABLE O ACEPTABLE con control especifico",IF(OR(AK32="III"),"MEJORABLE (Mejorar el control existente) ",IF(OR(AK32="IV"),"ACEPTABLE mantener las medidas de control existentes"))))</f>
        <v>ACEPTABLE mantener las medidas de control existentes</v>
      </c>
      <c r="AM32" s="37" t="n">
        <f aca="false">(P32-AJ32)/(P32)</f>
        <v>1</v>
      </c>
      <c r="AN32" s="33"/>
      <c r="AO32" s="33"/>
      <c r="AP32" s="33"/>
      <c r="AQ32" s="33"/>
      <c r="AR32" s="33"/>
      <c r="AS32" s="33"/>
      <c r="AT32" s="33"/>
      <c r="AU32" s="33"/>
      <c r="AV32" s="34"/>
    </row>
    <row r="33" customFormat="false" ht="82.5" hidden="false" customHeight="true" outlineLevel="0" collapsed="false">
      <c r="A33" s="20"/>
      <c r="B33" s="43"/>
      <c r="C33" s="22" t="s">
        <v>197</v>
      </c>
      <c r="D33" s="23" t="s">
        <v>57</v>
      </c>
      <c r="E33" s="22" t="s">
        <v>74</v>
      </c>
      <c r="F33" s="22" t="s">
        <v>198</v>
      </c>
      <c r="G33" s="22" t="s">
        <v>199</v>
      </c>
      <c r="H33" s="23" t="s">
        <v>61</v>
      </c>
      <c r="I33" s="23" t="s">
        <v>61</v>
      </c>
      <c r="J33" s="23" t="s">
        <v>61</v>
      </c>
      <c r="K33" s="23" t="n">
        <v>2</v>
      </c>
      <c r="L33" s="23" t="n">
        <v>2</v>
      </c>
      <c r="M33" s="23" t="n">
        <f aca="false">+K33*L33</f>
        <v>4</v>
      </c>
      <c r="N33" s="23" t="str">
        <f aca="false">IF(AND(M33&gt;=2,M33&lt;=4),"Bajo",IF(AND(M33&gt;=6,M33&lt;=8),"Medio",IF(AND(M33&gt;=10,M33&lt;=20),"Alto",IF(AND(M33&gt;=24,M33&lt;=40),"MuyAlto","No Especificado"))))</f>
        <v>Bajo</v>
      </c>
      <c r="O33" s="23" t="n">
        <v>25</v>
      </c>
      <c r="P33" s="23" t="n">
        <f aca="false">M33*O33</f>
        <v>100</v>
      </c>
      <c r="Q33" s="26" t="str">
        <f aca="false">IF(P33&gt;501, "I", IF(P33&gt;149, "II", IF(P33&gt;39, "III", "IV")))</f>
        <v>III</v>
      </c>
      <c r="R33" s="23" t="str">
        <f aca="false">IF(OR(Q33="I"),"NO ACEPTABLE",IF(OR(Q33="II")," NO ACEPTABLE O ACEPTABLE con control especifico",IF(OR(Q33="III"),"MEJORABLE (Mejorar el control existente) ",IF(OR(Q33="IV"),"ACEPTABLE mantener las medidas de control existentes"))))</f>
        <v>MEJORABLE (Mejorar el control existente) </v>
      </c>
      <c r="S33" s="23" t="s">
        <v>195</v>
      </c>
      <c r="T33" s="23" t="n">
        <v>0</v>
      </c>
      <c r="U33" s="23" t="n">
        <v>3</v>
      </c>
      <c r="V33" s="23" t="n">
        <v>0</v>
      </c>
      <c r="W33" s="23" t="n">
        <v>0</v>
      </c>
      <c r="X33" s="23" t="n">
        <f aca="false">+T33+U33+V33+W33</f>
        <v>3</v>
      </c>
      <c r="Y33" s="22" t="s">
        <v>64</v>
      </c>
      <c r="Z33" s="22" t="s">
        <v>64</v>
      </c>
      <c r="AA33" s="22" t="s">
        <v>64</v>
      </c>
      <c r="AB33" s="23" t="s">
        <v>200</v>
      </c>
      <c r="AC33" s="22" t="s">
        <v>64</v>
      </c>
      <c r="AD33" s="23" t="s">
        <v>67</v>
      </c>
      <c r="AE33" s="27" t="n">
        <v>0</v>
      </c>
      <c r="AF33" s="27" t="n">
        <v>0</v>
      </c>
      <c r="AG33" s="29" t="n">
        <f aca="false">AF33*AE33</f>
        <v>0</v>
      </c>
      <c r="AH33" s="36" t="str">
        <f aca="false">IF(AND(AG33&gt;=2,AG33&lt;=4),"Bajo",IF(AND(AG33&gt;=6,AG33&lt;=8),"Medio",IF(AND(AG33&gt;=10,AG33&lt;=20),"Alto",IF(AND(AG33&gt;=24,AG33&lt;=40),"MuyAlto","No Especificado"))))</f>
        <v>No Especificado</v>
      </c>
      <c r="AI33" s="27" t="n">
        <f aca="false">O33</f>
        <v>25</v>
      </c>
      <c r="AJ33" s="27" t="n">
        <f aca="false">AI33*AG33</f>
        <v>0</v>
      </c>
      <c r="AK33" s="23" t="str">
        <f aca="false">IF(AJ33&gt;501, "I", IF(AJ33&gt;149, "II", IF(AJ33&gt;39, "III", "IV")))</f>
        <v>IV</v>
      </c>
      <c r="AL33" s="27" t="str">
        <f aca="false">IF(OR(AK33="I"),"NO ACEPTABLE",IF(OR(AK33="II")," NO ACEPTABLE O ACEPTABLE con control especifico",IF(OR(AK33="III"),"MEJORABLE (Mejorar el control existente) ",IF(OR(AK33="IV"),"ACEPTABLE mantener las medidas de control existentes"))))</f>
        <v>ACEPTABLE mantener las medidas de control existentes</v>
      </c>
      <c r="AM33" s="37" t="n">
        <f aca="false">(P33-AJ33)/(P33)</f>
        <v>1</v>
      </c>
      <c r="AN33" s="33"/>
      <c r="AO33" s="33"/>
      <c r="AP33" s="33"/>
      <c r="AQ33" s="33"/>
      <c r="AR33" s="33"/>
      <c r="AS33" s="33"/>
      <c r="AT33" s="33"/>
      <c r="AU33" s="33"/>
      <c r="AV33" s="34"/>
    </row>
    <row r="34" customFormat="false" ht="115.5" hidden="false" customHeight="true" outlineLevel="0" collapsed="false">
      <c r="A34" s="20"/>
      <c r="B34" s="43"/>
      <c r="C34" s="22" t="s">
        <v>201</v>
      </c>
      <c r="D34" s="23" t="s">
        <v>57</v>
      </c>
      <c r="E34" s="22" t="s">
        <v>79</v>
      </c>
      <c r="F34" s="23" t="s">
        <v>80</v>
      </c>
      <c r="G34" s="23" t="s">
        <v>81</v>
      </c>
      <c r="H34" s="23" t="s">
        <v>61</v>
      </c>
      <c r="I34" s="23" t="s">
        <v>61</v>
      </c>
      <c r="J34" s="23" t="s">
        <v>61</v>
      </c>
      <c r="K34" s="23" t="n">
        <v>2</v>
      </c>
      <c r="L34" s="23" t="n">
        <v>2</v>
      </c>
      <c r="M34" s="23" t="n">
        <f aca="false">+K34*L34</f>
        <v>4</v>
      </c>
      <c r="N34" s="23" t="str">
        <f aca="false">IF(AND(M34&gt;=2,M34&lt;=4),"Bajo",IF(AND(M34&gt;=6,M34&lt;=8),"Medio",IF(AND(M34&gt;=10,M34&lt;=20),"Alto",IF(AND(M34&gt;=24,M34&lt;=40),"MuyAlto","No Especificado"))))</f>
        <v>Bajo</v>
      </c>
      <c r="O34" s="23" t="n">
        <v>25</v>
      </c>
      <c r="P34" s="23" t="n">
        <f aca="false">M34*O34</f>
        <v>100</v>
      </c>
      <c r="Q34" s="26" t="str">
        <f aca="false">IF(P34&gt;501, "I", IF(P34&gt;149, "II", IF(P34&gt;39, "III", "IV")))</f>
        <v>III</v>
      </c>
      <c r="R34" s="23" t="str">
        <f aca="false">IF(OR(Q34="I"),"NO ACEPTABLE",IF(OR(Q34="II")," NO ACEPTABLE O ACEPTABLE con control especifico",IF(OR(Q34="III"),"MEJORABLE (Mejorar el control existente) ",IF(OR(Q34="IV"),"ACEPTABLE mantener las medidas de control existentes"))))</f>
        <v>MEJORABLE (Mejorar el control existente) </v>
      </c>
      <c r="S34" s="23" t="s">
        <v>195</v>
      </c>
      <c r="T34" s="23" t="n">
        <v>0</v>
      </c>
      <c r="U34" s="23" t="n">
        <v>3</v>
      </c>
      <c r="V34" s="23" t="n">
        <v>0</v>
      </c>
      <c r="W34" s="23" t="n">
        <v>0</v>
      </c>
      <c r="X34" s="23" t="n">
        <f aca="false">+T34+U34+V34+W34</f>
        <v>3</v>
      </c>
      <c r="Y34" s="22" t="s">
        <v>64</v>
      </c>
      <c r="Z34" s="22" t="s">
        <v>64</v>
      </c>
      <c r="AA34" s="22" t="s">
        <v>64</v>
      </c>
      <c r="AB34" s="23" t="s">
        <v>131</v>
      </c>
      <c r="AC34" s="22" t="s">
        <v>64</v>
      </c>
      <c r="AD34" s="23" t="s">
        <v>67</v>
      </c>
      <c r="AE34" s="27" t="n">
        <v>0</v>
      </c>
      <c r="AF34" s="27" t="n">
        <v>0</v>
      </c>
      <c r="AG34" s="29" t="n">
        <f aca="false">AF34*AE34</f>
        <v>0</v>
      </c>
      <c r="AH34" s="36" t="str">
        <f aca="false">IF(AND(AG34&gt;=2,AG34&lt;=4),"Bajo",IF(AND(AG34&gt;=6,AG34&lt;=8),"Medio",IF(AND(AG34&gt;=10,AG34&lt;=20),"Alto",IF(AND(AG34&gt;=24,AG34&lt;=40),"MuyAlto","No Especificado"))))</f>
        <v>No Especificado</v>
      </c>
      <c r="AI34" s="27" t="n">
        <f aca="false">O34</f>
        <v>25</v>
      </c>
      <c r="AJ34" s="27" t="n">
        <f aca="false">AI34*AG34</f>
        <v>0</v>
      </c>
      <c r="AK34" s="23" t="str">
        <f aca="false">IF(AJ34&gt;501, "I", IF(AJ34&gt;149, "II", IF(AJ34&gt;39, "III", "IV")))</f>
        <v>IV</v>
      </c>
      <c r="AL34" s="27" t="str">
        <f aca="false">IF(OR(AK34="I"),"NO ACEPTABLE",IF(OR(AK34="II")," NO ACEPTABLE O ACEPTABLE con control especifico",IF(OR(AK34="III"),"MEJORABLE (Mejorar el control existente) ",IF(OR(AK34="IV"),"ACEPTABLE mantener las medidas de control existentes"))))</f>
        <v>ACEPTABLE mantener las medidas de control existentes</v>
      </c>
      <c r="AM34" s="37" t="n">
        <f aca="false">(P34-AJ34)/(P34)</f>
        <v>1</v>
      </c>
      <c r="AN34" s="33"/>
      <c r="AO34" s="33"/>
      <c r="AP34" s="33"/>
      <c r="AQ34" s="33"/>
      <c r="AR34" s="33"/>
      <c r="AS34" s="33"/>
      <c r="AT34" s="33"/>
      <c r="AU34" s="33"/>
      <c r="AV34" s="34"/>
    </row>
    <row r="35" customFormat="false" ht="82.5" hidden="false" customHeight="true" outlineLevel="0" collapsed="false">
      <c r="A35" s="20"/>
      <c r="B35" s="43"/>
      <c r="C35" s="22" t="s">
        <v>202</v>
      </c>
      <c r="D35" s="23" t="s">
        <v>57</v>
      </c>
      <c r="E35" s="23" t="s">
        <v>74</v>
      </c>
      <c r="F35" s="23" t="s">
        <v>75</v>
      </c>
      <c r="G35" s="23" t="s">
        <v>76</v>
      </c>
      <c r="H35" s="23" t="s">
        <v>61</v>
      </c>
      <c r="I35" s="23" t="s">
        <v>61</v>
      </c>
      <c r="J35" s="23" t="s">
        <v>61</v>
      </c>
      <c r="K35" s="35" t="n">
        <v>2</v>
      </c>
      <c r="L35" s="35" t="n">
        <v>3</v>
      </c>
      <c r="M35" s="23" t="n">
        <f aca="false">K35*L35</f>
        <v>6</v>
      </c>
      <c r="N35" s="25" t="str">
        <f aca="false">IF(AND(M35&gt;=2,M35&lt;=4),"Bajo",IF(AND(M35&gt;=6,M35&lt;=8),"Medio",IF(AND(M35&gt;=10,M35&lt;=20),"Alto",IF(AND(M35&gt;=24,M35&lt;=40),"MuyAlto","No Especificado"))))</f>
        <v>Medio</v>
      </c>
      <c r="O35" s="23" t="n">
        <v>10</v>
      </c>
      <c r="P35" s="23" t="n">
        <f aca="false">+O35*M35</f>
        <v>60</v>
      </c>
      <c r="Q35" s="26" t="str">
        <f aca="false">IF(P35&gt;501, "I", IF(P35&gt;149, "II", IF(P35&gt;39, "III", "IV")))</f>
        <v>III</v>
      </c>
      <c r="R35" s="27" t="str">
        <f aca="false">IF(OR(Q35="I"),"NO ACEPTABLE",IF(OR(Q35="II")," NO ACEPTABLE O ACEPTABLE con control especifico",IF(OR(Q35="III"),"MEJORABLE (Mejorar el control existente) ",IF(OR(Q35="IV"),"ACEPTABLE mantener las medidas de control existentes"))))</f>
        <v>MEJORABLE (Mejorar el control existente) </v>
      </c>
      <c r="S35" s="23" t="s">
        <v>195</v>
      </c>
      <c r="T35" s="23" t="n">
        <v>0</v>
      </c>
      <c r="U35" s="23" t="n">
        <v>3</v>
      </c>
      <c r="V35" s="23" t="n">
        <v>0</v>
      </c>
      <c r="W35" s="23" t="n">
        <v>0</v>
      </c>
      <c r="X35" s="23" t="n">
        <f aca="false">+T35+U35+V35+W35</f>
        <v>3</v>
      </c>
      <c r="Y35" s="22" t="s">
        <v>64</v>
      </c>
      <c r="Z35" s="22" t="s">
        <v>64</v>
      </c>
      <c r="AA35" s="22" t="s">
        <v>64</v>
      </c>
      <c r="AB35" s="23" t="s">
        <v>131</v>
      </c>
      <c r="AC35" s="22" t="s">
        <v>64</v>
      </c>
      <c r="AD35" s="23" t="s">
        <v>67</v>
      </c>
      <c r="AE35" s="27" t="n">
        <v>0</v>
      </c>
      <c r="AF35" s="27" t="n">
        <v>0</v>
      </c>
      <c r="AG35" s="29" t="n">
        <f aca="false">AF35*AE35</f>
        <v>0</v>
      </c>
      <c r="AH35" s="36" t="str">
        <f aca="false">IF(AND(AG35&gt;=2,AG35&lt;=4),"Bajo",IF(AND(AG35&gt;=6,AG35&lt;=8),"Medio",IF(AND(AG35&gt;=10,AG35&lt;=20),"Alto",IF(AND(AG35&gt;=24,AG35&lt;=40),"MuyAlto","No Especificado"))))</f>
        <v>No Especificado</v>
      </c>
      <c r="AI35" s="27" t="n">
        <f aca="false">O35</f>
        <v>10</v>
      </c>
      <c r="AJ35" s="27" t="n">
        <f aca="false">AI35*AG35</f>
        <v>0</v>
      </c>
      <c r="AK35" s="23" t="str">
        <f aca="false">IF(AJ35&gt;501, "I", IF(AJ35&gt;149, "II", IF(AJ35&gt;39, "III", "IV")))</f>
        <v>IV</v>
      </c>
      <c r="AL35" s="27" t="str">
        <f aca="false">IF(OR(AK35="I"),"NO ACEPTABLE",IF(OR(AK35="II")," NO ACEPTABLE O ACEPTABLE con control especifico",IF(OR(AK35="III"),"MEJORABLE (Mejorar el control existente) ",IF(OR(AK35="IV"),"ACEPTABLE mantener las medidas de control existentes"))))</f>
        <v>ACEPTABLE mantener las medidas de control existentes</v>
      </c>
      <c r="AM35" s="37" t="n">
        <f aca="false">(P35-AJ35)/(P35)</f>
        <v>1</v>
      </c>
      <c r="AN35" s="33"/>
      <c r="AO35" s="33"/>
      <c r="AP35" s="33"/>
      <c r="AQ35" s="33"/>
      <c r="AR35" s="33"/>
      <c r="AS35" s="33"/>
      <c r="AT35" s="33"/>
      <c r="AU35" s="33"/>
      <c r="AV35" s="34"/>
    </row>
    <row r="36" customFormat="false" ht="82.5" hidden="false" customHeight="true" outlineLevel="0" collapsed="false">
      <c r="A36" s="20"/>
      <c r="B36" s="43"/>
      <c r="C36" s="22" t="s">
        <v>203</v>
      </c>
      <c r="D36" s="23" t="s">
        <v>57</v>
      </c>
      <c r="E36" s="22" t="s">
        <v>84</v>
      </c>
      <c r="F36" s="23" t="s">
        <v>133</v>
      </c>
      <c r="G36" s="23" t="s">
        <v>204</v>
      </c>
      <c r="H36" s="23" t="s">
        <v>61</v>
      </c>
      <c r="I36" s="23" t="s">
        <v>61</v>
      </c>
      <c r="J36" s="23" t="s">
        <v>61</v>
      </c>
      <c r="K36" s="35" t="n">
        <v>2</v>
      </c>
      <c r="L36" s="35" t="n">
        <v>3</v>
      </c>
      <c r="M36" s="23" t="n">
        <f aca="false">+K36*L36</f>
        <v>6</v>
      </c>
      <c r="N36" s="25" t="str">
        <f aca="false">IF(AND(M36&gt;=2,M36&lt;=4),"Bajo",IF(AND(M36&gt;=6,M36&lt;=8),"Medio",IF(AND(M36&gt;=10,M36&lt;=20),"Alto",IF(AND(M36&gt;=24,M36&lt;=40),"MuyAlto","No Especificado"))))</f>
        <v>Medio</v>
      </c>
      <c r="O36" s="23" t="n">
        <v>10</v>
      </c>
      <c r="P36" s="23" t="n">
        <f aca="false">+O36*M36</f>
        <v>60</v>
      </c>
      <c r="Q36" s="26" t="str">
        <f aca="false">IF(P36&gt;501, "I", IF(P36&gt;149, "II", IF(P36&gt;39, "III", "IV")))</f>
        <v>III</v>
      </c>
      <c r="R36" s="23" t="str">
        <f aca="false">IF(OR(Q36="I"),"NO ACEPTABLE",IF(OR(Q36="II")," NO ACEPTABLE O ACEPTABLE con control especifico",IF(OR(Q36="III"),"MEJORABLE (Mejorar el control existente) ",IF(OR(Q36="IV"),"ACEPTABLE mantener las medidas de control existentes"))))</f>
        <v>MEJORABLE (Mejorar el control existente) </v>
      </c>
      <c r="S36" s="23" t="s">
        <v>195</v>
      </c>
      <c r="T36" s="23" t="n">
        <v>0</v>
      </c>
      <c r="U36" s="23" t="n">
        <v>3</v>
      </c>
      <c r="V36" s="23" t="n">
        <v>0</v>
      </c>
      <c r="W36" s="23" t="n">
        <v>0</v>
      </c>
      <c r="X36" s="23" t="n">
        <f aca="false">+T36+U36+V36+W36</f>
        <v>3</v>
      </c>
      <c r="Y36" s="22" t="s">
        <v>64</v>
      </c>
      <c r="Z36" s="22" t="s">
        <v>64</v>
      </c>
      <c r="AA36" s="22" t="s">
        <v>205</v>
      </c>
      <c r="AB36" s="23" t="s">
        <v>135</v>
      </c>
      <c r="AC36" s="23" t="s">
        <v>93</v>
      </c>
      <c r="AD36" s="23" t="s">
        <v>67</v>
      </c>
      <c r="AE36" s="27" t="n">
        <v>0</v>
      </c>
      <c r="AF36" s="27" t="n">
        <v>0</v>
      </c>
      <c r="AG36" s="29" t="n">
        <f aca="false">AF36*AE36</f>
        <v>0</v>
      </c>
      <c r="AH36" s="36" t="str">
        <f aca="false">IF(AND(AG36&gt;=2,AG36&lt;=4),"Bajo",IF(AND(AG36&gt;=6,AG36&lt;=8),"Medio",IF(AND(AG36&gt;=10,AG36&lt;=20),"Alto",IF(AND(AG36&gt;=24,AG36&lt;=40),"MuyAlto","No Especificado"))))</f>
        <v>No Especificado</v>
      </c>
      <c r="AI36" s="27" t="n">
        <f aca="false">O36</f>
        <v>10</v>
      </c>
      <c r="AJ36" s="27" t="n">
        <f aca="false">AI36*AG36</f>
        <v>0</v>
      </c>
      <c r="AK36" s="23" t="str">
        <f aca="false">IF(AJ36&gt;501, "I", IF(AJ36&gt;149, "II", IF(AJ36&gt;39, "III", "IV")))</f>
        <v>IV</v>
      </c>
      <c r="AL36" s="27" t="str">
        <f aca="false">IF(OR(AK36="I"),"NO ACEPTABLE",IF(OR(AK36="II")," NO ACEPTABLE O ACEPTABLE con control especifico",IF(OR(AK36="III"),"MEJORABLE (Mejorar el control existente) ",IF(OR(AK36="IV"),"ACEPTABLE mantener las medidas de control existentes"))))</f>
        <v>ACEPTABLE mantener las medidas de control existentes</v>
      </c>
      <c r="AM36" s="37" t="n">
        <f aca="false">(P36-AJ36)/(P36)</f>
        <v>1</v>
      </c>
      <c r="AN36" s="33"/>
      <c r="AO36" s="33"/>
      <c r="AP36" s="33"/>
      <c r="AQ36" s="33"/>
      <c r="AR36" s="33"/>
      <c r="AS36" s="33"/>
      <c r="AT36" s="33"/>
      <c r="AU36" s="33"/>
      <c r="AV36" s="34"/>
    </row>
    <row r="37" customFormat="false" ht="132" hidden="false" customHeight="true" outlineLevel="0" collapsed="false">
      <c r="A37" s="20"/>
      <c r="B37" s="43"/>
      <c r="C37" s="22" t="s">
        <v>89</v>
      </c>
      <c r="D37" s="23" t="s">
        <v>57</v>
      </c>
      <c r="E37" s="22" t="s">
        <v>84</v>
      </c>
      <c r="F37" s="22" t="s">
        <v>90</v>
      </c>
      <c r="G37" s="22" t="s">
        <v>206</v>
      </c>
      <c r="H37" s="23" t="s">
        <v>61</v>
      </c>
      <c r="I37" s="23" t="s">
        <v>61</v>
      </c>
      <c r="J37" s="23" t="s">
        <v>61</v>
      </c>
      <c r="K37" s="51" t="n">
        <v>2</v>
      </c>
      <c r="L37" s="51" t="n">
        <v>3</v>
      </c>
      <c r="M37" s="51" t="n">
        <f aca="false">+K37*L37</f>
        <v>6</v>
      </c>
      <c r="N37" s="25" t="str">
        <f aca="false">IF(AND(M37&gt;=2,M37&lt;=4),"Bajo",IF(AND(M37&gt;=6,M37&lt;=8),"Medio",IF(AND(M37&gt;=10,M37&lt;=20),"Alto",IF(AND(M37&gt;=24,M37&lt;=40),"MuyAlto","No Especificado"))))</f>
        <v>Medio</v>
      </c>
      <c r="O37" s="51" t="n">
        <v>25</v>
      </c>
      <c r="P37" s="51" t="n">
        <f aca="false">M37*O37</f>
        <v>150</v>
      </c>
      <c r="Q37" s="52" t="str">
        <f aca="false">IF(P37&gt;501, "I", IF(P37&gt;149, "II", IF(P37&gt;39, "III", "IV")))</f>
        <v>II</v>
      </c>
      <c r="R37" s="53" t="str">
        <f aca="false">IF(OR(Q37="I"),"NO ACEPTABLE",IF(OR(Q37="II")," NO ACEPTABLE O ACEPTABLE con control especifico",IF(OR(Q37="III"),"MEJORABLE (Mejorar el control existente) ",IF(OR(Q37="IV"),"ACEPTABLE mantener las medidas de control existentes"))))</f>
        <v> NO ACEPTABLE O ACEPTABLE con control especifico</v>
      </c>
      <c r="S37" s="23" t="s">
        <v>195</v>
      </c>
      <c r="T37" s="23" t="n">
        <v>0</v>
      </c>
      <c r="U37" s="23" t="n">
        <v>3</v>
      </c>
      <c r="V37" s="23" t="n">
        <v>0</v>
      </c>
      <c r="W37" s="23" t="n">
        <v>0</v>
      </c>
      <c r="X37" s="23" t="n">
        <f aca="false">+T37+U37+V37+W37</f>
        <v>3</v>
      </c>
      <c r="Y37" s="22" t="s">
        <v>64</v>
      </c>
      <c r="Z37" s="22" t="s">
        <v>64</v>
      </c>
      <c r="AA37" s="22" t="s">
        <v>207</v>
      </c>
      <c r="AB37" s="50" t="s">
        <v>208</v>
      </c>
      <c r="AC37" s="22" t="s">
        <v>64</v>
      </c>
      <c r="AD37" s="51" t="s">
        <v>67</v>
      </c>
      <c r="AE37" s="27" t="n">
        <v>0</v>
      </c>
      <c r="AF37" s="27" t="n">
        <v>0</v>
      </c>
      <c r="AG37" s="29" t="n">
        <f aca="false">AF37*AE37</f>
        <v>0</v>
      </c>
      <c r="AH37" s="36" t="str">
        <f aca="false">IF(AND(AG37&gt;=2,AG37&lt;=4),"Bajo",IF(AND(AG37&gt;=6,AG37&lt;=8),"Medio",IF(AND(AG37&gt;=10,AG37&lt;=20),"Alto",IF(AND(AG37&gt;=24,AG37&lt;=40),"MuyAlto","No Especificado"))))</f>
        <v>No Especificado</v>
      </c>
      <c r="AI37" s="27" t="n">
        <f aca="false">O37</f>
        <v>25</v>
      </c>
      <c r="AJ37" s="27" t="n">
        <f aca="false">AI37*AG37</f>
        <v>0</v>
      </c>
      <c r="AK37" s="23" t="str">
        <f aca="false">IF(AJ37&gt;501, "I", IF(AJ37&gt;149, "II", IF(AJ37&gt;39, "III", "IV")))</f>
        <v>IV</v>
      </c>
      <c r="AL37" s="27" t="str">
        <f aca="false">IF(OR(AK37="I"),"NO ACEPTABLE",IF(OR(AK37="II")," NO ACEPTABLE O ACEPTABLE con control especifico",IF(OR(AK37="III"),"MEJORABLE (Mejorar el control existente) ",IF(OR(AK37="IV"),"ACEPTABLE mantener las medidas de control existentes"))))</f>
        <v>ACEPTABLE mantener las medidas de control existentes</v>
      </c>
      <c r="AM37" s="37" t="n">
        <f aca="false">(P37-AJ37)/(P37)</f>
        <v>1</v>
      </c>
      <c r="AN37" s="33"/>
      <c r="AO37" s="33"/>
      <c r="AP37" s="33"/>
      <c r="AQ37" s="33"/>
      <c r="AR37" s="33"/>
      <c r="AS37" s="33"/>
      <c r="AT37" s="33"/>
      <c r="AU37" s="33"/>
      <c r="AV37" s="34"/>
    </row>
    <row r="38" customFormat="false" ht="82.5" hidden="false" customHeight="true" outlineLevel="0" collapsed="false">
      <c r="A38" s="20"/>
      <c r="B38" s="43"/>
      <c r="C38" s="22" t="s">
        <v>209</v>
      </c>
      <c r="D38" s="23" t="s">
        <v>57</v>
      </c>
      <c r="E38" s="22" t="s">
        <v>210</v>
      </c>
      <c r="F38" s="22" t="s">
        <v>90</v>
      </c>
      <c r="G38" s="22" t="s">
        <v>211</v>
      </c>
      <c r="H38" s="23" t="s">
        <v>61</v>
      </c>
      <c r="I38" s="23" t="s">
        <v>61</v>
      </c>
      <c r="J38" s="23" t="s">
        <v>61</v>
      </c>
      <c r="K38" s="23" t="n">
        <v>2</v>
      </c>
      <c r="L38" s="23" t="n">
        <v>2</v>
      </c>
      <c r="M38" s="23" t="n">
        <f aca="false">+K38*L38</f>
        <v>4</v>
      </c>
      <c r="N38" s="23" t="str">
        <f aca="false">IF(AND(M38&gt;=2,M38&lt;=4),"Bajo",IF(AND(M38&gt;=6,M38&lt;=8),"Medio",IF(AND(M38&gt;=10,M38&lt;=20),"Alto",IF(AND(M38&gt;=24,M38&lt;=40),"MuyAlto","No Especificado"))))</f>
        <v>Bajo</v>
      </c>
      <c r="O38" s="23" t="n">
        <v>25</v>
      </c>
      <c r="P38" s="23" t="n">
        <f aca="false">M38*O38</f>
        <v>100</v>
      </c>
      <c r="Q38" s="26" t="str">
        <f aca="false">IF(P38&gt;501, "I", IF(P38&gt;149, "II", IF(P38&gt;39, "III", "IV")))</f>
        <v>III</v>
      </c>
      <c r="R38" s="23" t="str">
        <f aca="false">IF(OR(Q38="I"),"NO ACEPTABLE",IF(OR(Q38="II")," NO ACEPTABLE O ACEPTABLE con control especifico",IF(OR(Q38="III"),"MEJORABLE (Mejorar el control existente) ",IF(OR(Q38="IV"),"ACEPTABLE mantener las medidas de control existentes"))))</f>
        <v>MEJORABLE (Mejorar el control existente) </v>
      </c>
      <c r="S38" s="23" t="s">
        <v>195</v>
      </c>
      <c r="T38" s="23" t="n">
        <v>0</v>
      </c>
      <c r="U38" s="23" t="n">
        <v>3</v>
      </c>
      <c r="V38" s="23" t="n">
        <v>0</v>
      </c>
      <c r="W38" s="23" t="n">
        <v>0</v>
      </c>
      <c r="X38" s="23" t="n">
        <f aca="false">+T38+U38+V38+W38</f>
        <v>3</v>
      </c>
      <c r="Y38" s="22" t="s">
        <v>64</v>
      </c>
      <c r="Z38" s="22" t="s">
        <v>64</v>
      </c>
      <c r="AA38" s="22" t="s">
        <v>64</v>
      </c>
      <c r="AB38" s="22" t="s">
        <v>92</v>
      </c>
      <c r="AC38" s="22" t="s">
        <v>93</v>
      </c>
      <c r="AD38" s="51" t="s">
        <v>67</v>
      </c>
      <c r="AE38" s="27" t="n">
        <v>0</v>
      </c>
      <c r="AF38" s="27" t="n">
        <v>0</v>
      </c>
      <c r="AG38" s="29" t="n">
        <f aca="false">AF38*AE38</f>
        <v>0</v>
      </c>
      <c r="AH38" s="36" t="str">
        <f aca="false">IF(AND(AG38&gt;=2,AG38&lt;=4),"Bajo",IF(AND(AG38&gt;=6,AG38&lt;=8),"Medio",IF(AND(AG38&gt;=10,AG38&lt;=20),"Alto",IF(AND(AG38&gt;=24,AG38&lt;=40),"MuyAlto","No Especificado"))))</f>
        <v>No Especificado</v>
      </c>
      <c r="AI38" s="27" t="n">
        <f aca="false">O38</f>
        <v>25</v>
      </c>
      <c r="AJ38" s="27" t="n">
        <f aca="false">AI38*AG38</f>
        <v>0</v>
      </c>
      <c r="AK38" s="23" t="str">
        <f aca="false">IF(AJ38&gt;501, "I", IF(AJ38&gt;149, "II", IF(AJ38&gt;39, "III", "IV")))</f>
        <v>IV</v>
      </c>
      <c r="AL38" s="27" t="str">
        <f aca="false">IF(OR(AK38="I"),"NO ACEPTABLE",IF(OR(AK38="II")," NO ACEPTABLE O ACEPTABLE con control especifico",IF(OR(AK38="III"),"MEJORABLE (Mejorar el control existente) ",IF(OR(AK38="IV"),"ACEPTABLE mantener las medidas de control existentes"))))</f>
        <v>ACEPTABLE mantener las medidas de control existentes</v>
      </c>
      <c r="AM38" s="37" t="n">
        <f aca="false">(P38-AJ38)/(P38)</f>
        <v>1</v>
      </c>
      <c r="AN38" s="33"/>
      <c r="AO38" s="33"/>
      <c r="AP38" s="33"/>
      <c r="AQ38" s="33"/>
      <c r="AR38" s="33"/>
      <c r="AS38" s="33"/>
      <c r="AT38" s="33"/>
      <c r="AU38" s="33"/>
      <c r="AV38" s="34"/>
    </row>
    <row r="39" customFormat="false" ht="82.5" hidden="false" customHeight="true" outlineLevel="0" collapsed="false">
      <c r="A39" s="20"/>
      <c r="B39" s="43"/>
      <c r="C39" s="22" t="s">
        <v>212</v>
      </c>
      <c r="D39" s="23" t="s">
        <v>57</v>
      </c>
      <c r="E39" s="22" t="s">
        <v>213</v>
      </c>
      <c r="F39" s="22" t="s">
        <v>214</v>
      </c>
      <c r="G39" s="22" t="s">
        <v>215</v>
      </c>
      <c r="H39" s="23" t="s">
        <v>61</v>
      </c>
      <c r="I39" s="23" t="s">
        <v>61</v>
      </c>
      <c r="J39" s="23" t="s">
        <v>61</v>
      </c>
      <c r="K39" s="46" t="n">
        <v>2</v>
      </c>
      <c r="L39" s="46" t="n">
        <v>3</v>
      </c>
      <c r="M39" s="46" t="n">
        <v>6</v>
      </c>
      <c r="N39" s="25" t="str">
        <f aca="false">IF(AND(M39&gt;=2,M39&lt;=4),"Bajo",IF(AND(M39&gt;=6,M39&lt;=8),"Medio",IF(AND(M39&gt;=10,M39&lt;=20),"Alto",IF(AND(M39&gt;=24,M39&lt;=40),"MuyAlto","No Especificado"))))</f>
        <v>Medio</v>
      </c>
      <c r="O39" s="46" t="n">
        <v>10</v>
      </c>
      <c r="P39" s="46" t="n">
        <v>60</v>
      </c>
      <c r="Q39" s="56" t="s">
        <v>216</v>
      </c>
      <c r="R39" s="57" t="str">
        <f aca="false">IF(OR(Q39="I"),"NO ACEPTABLE",IF(OR(Q39="II")," NO ACEPTABLE O ACEPTABLE con control especifico",IF(OR(Q39="III"),"MEJORABLE (Mejorar el control existente) ",IF(OR(Q39="IV"),"ACEPTABLE mantener las medidas de control existentes"))))</f>
        <v>MEJORABLE (Mejorar el control existente) </v>
      </c>
      <c r="S39" s="23" t="s">
        <v>195</v>
      </c>
      <c r="T39" s="23" t="n">
        <v>0</v>
      </c>
      <c r="U39" s="23" t="n">
        <v>3</v>
      </c>
      <c r="V39" s="23" t="n">
        <v>0</v>
      </c>
      <c r="W39" s="23" t="n">
        <v>0</v>
      </c>
      <c r="X39" s="23" t="n">
        <f aca="false">+T39+U39+V39+W39</f>
        <v>3</v>
      </c>
      <c r="Y39" s="22" t="s">
        <v>64</v>
      </c>
      <c r="Z39" s="22" t="s">
        <v>64</v>
      </c>
      <c r="AA39" s="22" t="s">
        <v>217</v>
      </c>
      <c r="AB39" s="22" t="s">
        <v>64</v>
      </c>
      <c r="AC39" s="22" t="s">
        <v>64</v>
      </c>
      <c r="AD39" s="22" t="s">
        <v>67</v>
      </c>
      <c r="AE39" s="27" t="n">
        <v>0</v>
      </c>
      <c r="AF39" s="27" t="n">
        <v>0</v>
      </c>
      <c r="AG39" s="29" t="n">
        <f aca="false">AF39*AE39</f>
        <v>0</v>
      </c>
      <c r="AH39" s="36" t="str">
        <f aca="false">IF(AND(AG39&gt;=2,AG39&lt;=4),"Bajo",IF(AND(AG39&gt;=6,AG39&lt;=8),"Medio",IF(AND(AG39&gt;=10,AG39&lt;=20),"Alto",IF(AND(AG39&gt;=24,AG39&lt;=40),"MuyAlto","No Especificado"))))</f>
        <v>No Especificado</v>
      </c>
      <c r="AI39" s="27" t="n">
        <f aca="false">O39</f>
        <v>10</v>
      </c>
      <c r="AJ39" s="27" t="n">
        <f aca="false">AI39*AG39</f>
        <v>0</v>
      </c>
      <c r="AK39" s="23" t="str">
        <f aca="false">IF(AJ39&gt;501, "I", IF(AJ39&gt;149, "II", IF(AJ39&gt;39, "III", "IV")))</f>
        <v>IV</v>
      </c>
      <c r="AL39" s="27" t="str">
        <f aca="false">IF(OR(AK39="I"),"NO ACEPTABLE",IF(OR(AK39="II")," NO ACEPTABLE O ACEPTABLE con control especifico",IF(OR(AK39="III"),"MEJORABLE (Mejorar el control existente) ",IF(OR(AK39="IV"),"ACEPTABLE mantener las medidas de control existentes"))))</f>
        <v>ACEPTABLE mantener las medidas de control existentes</v>
      </c>
      <c r="AM39" s="37" t="n">
        <f aca="false">(P39-AJ39)/(P39)</f>
        <v>1</v>
      </c>
      <c r="AN39" s="33"/>
      <c r="AO39" s="33"/>
      <c r="AP39" s="33"/>
      <c r="AQ39" s="33"/>
      <c r="AR39" s="33"/>
      <c r="AS39" s="33"/>
      <c r="AT39" s="33"/>
      <c r="AU39" s="33"/>
      <c r="AV39" s="34"/>
    </row>
    <row r="40" customFormat="false" ht="132" hidden="false" customHeight="true" outlineLevel="0" collapsed="false">
      <c r="A40" s="20"/>
      <c r="B40" s="43"/>
      <c r="C40" s="22" t="s">
        <v>218</v>
      </c>
      <c r="D40" s="22" t="s">
        <v>57</v>
      </c>
      <c r="E40" s="58" t="s">
        <v>102</v>
      </c>
      <c r="F40" s="23" t="s">
        <v>103</v>
      </c>
      <c r="G40" s="23" t="s">
        <v>104</v>
      </c>
      <c r="H40" s="23" t="s">
        <v>61</v>
      </c>
      <c r="I40" s="23" t="s">
        <v>61</v>
      </c>
      <c r="J40" s="23" t="s">
        <v>61</v>
      </c>
      <c r="K40" s="35" t="n">
        <v>2</v>
      </c>
      <c r="L40" s="35" t="n">
        <v>3</v>
      </c>
      <c r="M40" s="23" t="n">
        <f aca="false">+K40*L40</f>
        <v>6</v>
      </c>
      <c r="N40" s="25" t="str">
        <f aca="false">IF(AND(M40&gt;=2,M40&lt;=4),"Bajo",IF(AND(M40&gt;=6,M40&lt;=8),"Medio",IF(AND(M40&gt;=10,M40&lt;=20),"Alto",IF(AND(M40&gt;=24,M40&lt;=40),"MuyAlto","No Especificado"))))</f>
        <v>Medio</v>
      </c>
      <c r="O40" s="23" t="n">
        <v>10</v>
      </c>
      <c r="P40" s="23" t="n">
        <f aca="false">+O40*M40</f>
        <v>60</v>
      </c>
      <c r="Q40" s="26" t="str">
        <f aca="false">IF(P40&gt;501, "I", IF(P40&gt;149, "II", IF(P40&gt;39, "III", "IV")))</f>
        <v>III</v>
      </c>
      <c r="R40" s="23" t="str">
        <f aca="false">IF(OR(Q40="I"),"NO ACEPTABLE",IF(OR(Q40="II")," NO ACEPTABLE O ACEPTABLE con control especifico",IF(OR(Q40="III"),"MEJORABLE (Mejorar el control existente) ",IF(OR(Q40="IV"),"ACEPTABLE mantener las medidas de control existentes"))))</f>
        <v>MEJORABLE (Mejorar el control existente) </v>
      </c>
      <c r="S40" s="23" t="s">
        <v>195</v>
      </c>
      <c r="T40" s="23" t="n">
        <v>0</v>
      </c>
      <c r="U40" s="23" t="n">
        <v>3</v>
      </c>
      <c r="V40" s="23" t="n">
        <v>0</v>
      </c>
      <c r="W40" s="23" t="n">
        <v>0</v>
      </c>
      <c r="X40" s="23" t="n">
        <f aca="false">+T40+U40+V40+W40</f>
        <v>3</v>
      </c>
      <c r="Y40" s="22" t="s">
        <v>64</v>
      </c>
      <c r="Z40" s="22" t="s">
        <v>64</v>
      </c>
      <c r="AA40" s="22" t="s">
        <v>219</v>
      </c>
      <c r="AB40" s="22" t="s">
        <v>220</v>
      </c>
      <c r="AC40" s="22" t="s">
        <v>64</v>
      </c>
      <c r="AD40" s="51" t="s">
        <v>67</v>
      </c>
      <c r="AE40" s="27" t="n">
        <v>0</v>
      </c>
      <c r="AF40" s="27" t="n">
        <v>0</v>
      </c>
      <c r="AG40" s="29" t="n">
        <f aca="false">AF40*AE40</f>
        <v>0</v>
      </c>
      <c r="AH40" s="36" t="str">
        <f aca="false">IF(AND(AG40&gt;=2,AG40&lt;=4),"Bajo",IF(AND(AG40&gt;=6,AG40&lt;=8),"Medio",IF(AND(AG40&gt;=10,AG40&lt;=20),"Alto",IF(AND(AG40&gt;=24,AG40&lt;=40),"MuyAlto","No Especificado"))))</f>
        <v>No Especificado</v>
      </c>
      <c r="AI40" s="27" t="n">
        <f aca="false">O40</f>
        <v>10</v>
      </c>
      <c r="AJ40" s="27" t="n">
        <f aca="false">AI40*AG40</f>
        <v>0</v>
      </c>
      <c r="AK40" s="23" t="str">
        <f aca="false">IF(AJ40&gt;501, "I", IF(AJ40&gt;149, "II", IF(AJ40&gt;39, "III", "IV")))</f>
        <v>IV</v>
      </c>
      <c r="AL40" s="27" t="str">
        <f aca="false">IF(OR(AK40="I"),"NO ACEPTABLE",IF(OR(AK40="II")," NO ACEPTABLE O ACEPTABLE con control especifico",IF(OR(AK40="III"),"MEJORABLE (Mejorar el control existente) ",IF(OR(AK40="IV"),"ACEPTABLE mantener las medidas de control existentes"))))</f>
        <v>ACEPTABLE mantener las medidas de control existentes</v>
      </c>
      <c r="AM40" s="37" t="n">
        <f aca="false">(P40-AJ40)/(P40)</f>
        <v>1</v>
      </c>
      <c r="AN40" s="33"/>
      <c r="AO40" s="33"/>
      <c r="AP40" s="33"/>
      <c r="AQ40" s="33"/>
      <c r="AR40" s="33"/>
      <c r="AS40" s="33"/>
      <c r="AT40" s="33"/>
      <c r="AU40" s="33"/>
      <c r="AV40" s="34"/>
    </row>
    <row r="41" customFormat="false" ht="82.5" hidden="false" customHeight="true" outlineLevel="0" collapsed="false">
      <c r="A41" s="20"/>
      <c r="B41" s="43"/>
      <c r="C41" s="22" t="s">
        <v>221</v>
      </c>
      <c r="D41" s="22" t="s">
        <v>57</v>
      </c>
      <c r="E41" s="22" t="s">
        <v>108</v>
      </c>
      <c r="F41" s="22" t="s">
        <v>222</v>
      </c>
      <c r="G41" s="22" t="s">
        <v>223</v>
      </c>
      <c r="H41" s="23" t="s">
        <v>61</v>
      </c>
      <c r="I41" s="23" t="s">
        <v>61</v>
      </c>
      <c r="J41" s="23" t="s">
        <v>61</v>
      </c>
      <c r="K41" s="59" t="n">
        <v>2</v>
      </c>
      <c r="L41" s="59" t="n">
        <v>3</v>
      </c>
      <c r="M41" s="46" t="n">
        <v>6</v>
      </c>
      <c r="N41" s="22" t="str">
        <f aca="false">IF(AND(M41&gt;=2,M41&lt;=4),"Bajo",IF(AND(M41&gt;=6,M41&lt;=8),"Medio",IF(AND(M41&gt;=10,M41&lt;=20),"Alto",IF(AND(M41&gt;=24,M41&lt;=40),"MuyAlto","No Especificado"))))</f>
        <v>Medio</v>
      </c>
      <c r="O41" s="46" t="n">
        <v>10</v>
      </c>
      <c r="P41" s="46" t="n">
        <v>60</v>
      </c>
      <c r="Q41" s="56" t="s">
        <v>216</v>
      </c>
      <c r="R41" s="46" t="str">
        <f aca="false">IF(OR(Q41="I"),"NO ACEPTABLE",IF(OR(Q41="II")," NO ACEPTABLE O ACEPTABLE con control especifico",IF(OR(Q41="III"),"MEJORABLE (Mejorar el control existente) ",IF(OR(Q41="IV"),"ACEPTABLE mantener las medidas de control existentes"))))</f>
        <v>MEJORABLE (Mejorar el control existente) </v>
      </c>
      <c r="S41" s="23" t="s">
        <v>195</v>
      </c>
      <c r="T41" s="23" t="n">
        <v>0</v>
      </c>
      <c r="U41" s="23" t="n">
        <v>3</v>
      </c>
      <c r="V41" s="23" t="n">
        <v>0</v>
      </c>
      <c r="W41" s="23" t="n">
        <v>0</v>
      </c>
      <c r="X41" s="23" t="n">
        <f aca="false">+T41+U41+V41+W41</f>
        <v>3</v>
      </c>
      <c r="Y41" s="22" t="s">
        <v>64</v>
      </c>
      <c r="Z41" s="22" t="s">
        <v>64</v>
      </c>
      <c r="AA41" s="22" t="s">
        <v>64</v>
      </c>
      <c r="AB41" s="22" t="s">
        <v>224</v>
      </c>
      <c r="AC41" s="22" t="s">
        <v>64</v>
      </c>
      <c r="AD41" s="51" t="s">
        <v>67</v>
      </c>
      <c r="AE41" s="27" t="n">
        <v>0</v>
      </c>
      <c r="AF41" s="27" t="n">
        <v>0</v>
      </c>
      <c r="AG41" s="29" t="n">
        <f aca="false">AF41*AE41</f>
        <v>0</v>
      </c>
      <c r="AH41" s="36" t="str">
        <f aca="false">IF(AND(AG41&gt;=2,AG41&lt;=4),"Bajo",IF(AND(AG41&gt;=6,AG41&lt;=8),"Medio",IF(AND(AG41&gt;=10,AG41&lt;=20),"Alto",IF(AND(AG41&gt;=24,AG41&lt;=40),"MuyAlto","No Especificado"))))</f>
        <v>No Especificado</v>
      </c>
      <c r="AI41" s="27" t="n">
        <f aca="false">O41</f>
        <v>10</v>
      </c>
      <c r="AJ41" s="27" t="n">
        <f aca="false">AI41*AG41</f>
        <v>0</v>
      </c>
      <c r="AK41" s="23" t="str">
        <f aca="false">IF(AJ41&gt;501, "I", IF(AJ41&gt;149, "II", IF(AJ41&gt;39, "III", "IV")))</f>
        <v>IV</v>
      </c>
      <c r="AL41" s="27" t="str">
        <f aca="false">IF(OR(AK41="I"),"NO ACEPTABLE",IF(OR(AK41="II")," NO ACEPTABLE O ACEPTABLE con control especifico",IF(OR(AK41="III"),"MEJORABLE (Mejorar el control existente) ",IF(OR(AK41="IV"),"ACEPTABLE mantener las medidas de control existentes"))))</f>
        <v>ACEPTABLE mantener las medidas de control existentes</v>
      </c>
      <c r="AM41" s="37" t="n">
        <f aca="false">(P41-AJ41)/(P41)</f>
        <v>1</v>
      </c>
      <c r="AN41" s="33"/>
      <c r="AO41" s="33"/>
      <c r="AP41" s="33"/>
      <c r="AQ41" s="33"/>
      <c r="AR41" s="33"/>
      <c r="AS41" s="33"/>
      <c r="AT41" s="33"/>
      <c r="AU41" s="33"/>
      <c r="AV41" s="34"/>
    </row>
    <row r="42" customFormat="false" ht="132" hidden="false" customHeight="true" outlineLevel="0" collapsed="false">
      <c r="A42" s="20"/>
      <c r="B42" s="43" t="s">
        <v>225</v>
      </c>
      <c r="C42" s="22" t="s">
        <v>226</v>
      </c>
      <c r="D42" s="22" t="s">
        <v>107</v>
      </c>
      <c r="E42" s="22" t="s">
        <v>227</v>
      </c>
      <c r="F42" s="22" t="s">
        <v>228</v>
      </c>
      <c r="G42" s="22" t="s">
        <v>229</v>
      </c>
      <c r="H42" s="23" t="s">
        <v>61</v>
      </c>
      <c r="I42" s="23" t="s">
        <v>61</v>
      </c>
      <c r="J42" s="23" t="s">
        <v>61</v>
      </c>
      <c r="K42" s="22" t="n">
        <v>2</v>
      </c>
      <c r="L42" s="22" t="n">
        <v>4</v>
      </c>
      <c r="M42" s="22" t="n">
        <f aca="false">+K42*L42</f>
        <v>8</v>
      </c>
      <c r="N42" s="22" t="str">
        <f aca="false">IF(AND(M42&gt;=2,M42&lt;=4),"Bajo",IF(AND(M42&gt;=6,M42&lt;=8),"Medio",IF(AND(M42&gt;=10,M42&lt;=20),"Alto",IF(AND(M42&gt;=24,M42&lt;=40),"MuyAlto","No Especificado"))))</f>
        <v>Medio</v>
      </c>
      <c r="O42" s="22" t="n">
        <v>25</v>
      </c>
      <c r="P42" s="22" t="n">
        <f aca="false">M42*O42</f>
        <v>200</v>
      </c>
      <c r="Q42" s="60" t="str">
        <f aca="false">IF(P42&gt;501, "I", IF(P42&gt;149, "II", IF(P42&gt;39, "III", "IV")))</f>
        <v>II</v>
      </c>
      <c r="R42" s="45" t="str">
        <f aca="false">IF(OR(Q42="I"),"NO ACEPTABLE",IF(OR(Q42="II")," NO ACEPTABLE O ACEPTABLE con control especifico",IF(OR(Q42="III"),"MEJORABLE (Mejorar el control existente) ",IF(OR(Q42="IV"),"ACEPTABLE mantener las medidas de control existentes"))))</f>
        <v> NO ACEPTABLE O ACEPTABLE con control especifico</v>
      </c>
      <c r="S42" s="23" t="s">
        <v>195</v>
      </c>
      <c r="T42" s="23" t="n">
        <v>0</v>
      </c>
      <c r="U42" s="23" t="n">
        <v>3</v>
      </c>
      <c r="V42" s="23" t="n">
        <v>0</v>
      </c>
      <c r="W42" s="23" t="n">
        <v>0</v>
      </c>
      <c r="X42" s="23" t="n">
        <f aca="false">+T42+U42+V42+W42</f>
        <v>3</v>
      </c>
      <c r="Y42" s="22" t="s">
        <v>64</v>
      </c>
      <c r="Z42" s="22" t="s">
        <v>64</v>
      </c>
      <c r="AA42" s="22" t="s">
        <v>64</v>
      </c>
      <c r="AB42" s="22" t="s">
        <v>230</v>
      </c>
      <c r="AC42" s="22" t="s">
        <v>64</v>
      </c>
      <c r="AD42" s="22" t="s">
        <v>94</v>
      </c>
      <c r="AE42" s="27" t="n">
        <v>0</v>
      </c>
      <c r="AF42" s="27" t="n">
        <v>0</v>
      </c>
      <c r="AG42" s="29" t="n">
        <f aca="false">AF42*AE42</f>
        <v>0</v>
      </c>
      <c r="AH42" s="36" t="str">
        <f aca="false">IF(AND(AG42&gt;=2,AG42&lt;=4),"Bajo",IF(AND(AG42&gt;=6,AG42&lt;=8),"Medio",IF(AND(AG42&gt;=10,AG42&lt;=20),"Alto",IF(AND(AG42&gt;=24,AG42&lt;=40),"MuyAlto","No Especificado"))))</f>
        <v>No Especificado</v>
      </c>
      <c r="AI42" s="27" t="n">
        <f aca="false">O42</f>
        <v>25</v>
      </c>
      <c r="AJ42" s="27" t="n">
        <f aca="false">AI42*AG42</f>
        <v>0</v>
      </c>
      <c r="AK42" s="23" t="str">
        <f aca="false">IF(AJ42&gt;501, "I", IF(AJ42&gt;149, "II", IF(AJ42&gt;39, "III", "IV")))</f>
        <v>IV</v>
      </c>
      <c r="AL42" s="27" t="str">
        <f aca="false">IF(OR(AK42="I"),"NO ACEPTABLE",IF(OR(AK42="II")," NO ACEPTABLE O ACEPTABLE con control especifico",IF(OR(AK42="III"),"MEJORABLE (Mejorar el control existente) ",IF(OR(AK42="IV"),"ACEPTABLE mantener las medidas de control existentes"))))</f>
        <v>ACEPTABLE mantener las medidas de control existentes</v>
      </c>
      <c r="AM42" s="37" t="n">
        <f aca="false">(P42-AJ42)/(P42)</f>
        <v>1</v>
      </c>
      <c r="AN42" s="33"/>
      <c r="AO42" s="33"/>
      <c r="AP42" s="33"/>
      <c r="AQ42" s="33"/>
      <c r="AR42" s="33"/>
      <c r="AS42" s="33"/>
      <c r="AT42" s="33"/>
      <c r="AU42" s="33"/>
      <c r="AV42" s="34"/>
    </row>
    <row r="43" customFormat="false" ht="132" hidden="false" customHeight="true" outlineLevel="0" collapsed="false">
      <c r="A43" s="20"/>
      <c r="B43" s="43"/>
      <c r="C43" s="22" t="s">
        <v>231</v>
      </c>
      <c r="D43" s="23" t="s">
        <v>57</v>
      </c>
      <c r="E43" s="28" t="s">
        <v>69</v>
      </c>
      <c r="F43" s="28" t="s">
        <v>232</v>
      </c>
      <c r="G43" s="22" t="s">
        <v>233</v>
      </c>
      <c r="H43" s="23" t="s">
        <v>61</v>
      </c>
      <c r="I43" s="23" t="s">
        <v>61</v>
      </c>
      <c r="J43" s="23" t="s">
        <v>61</v>
      </c>
      <c r="K43" s="35" t="n">
        <v>2</v>
      </c>
      <c r="L43" s="35" t="n">
        <v>3</v>
      </c>
      <c r="M43" s="23" t="n">
        <f aca="false">K43*L43</f>
        <v>6</v>
      </c>
      <c r="N43" s="25" t="str">
        <f aca="false">IF(AND(M43&gt;=2,M43&lt;=4),"Bajo",IF(AND(M43&gt;=6,M43&lt;=8),"Medio",IF(AND(M43&gt;=10,M43&lt;=20),"Alto",IF(AND(M43&gt;=24,M43&lt;=40),"MuyAlto","No Especificado"))))</f>
        <v>Medio</v>
      </c>
      <c r="O43" s="23" t="n">
        <v>60</v>
      </c>
      <c r="P43" s="23" t="n">
        <f aca="false">+O43*M43</f>
        <v>360</v>
      </c>
      <c r="Q43" s="26" t="str">
        <f aca="false">IF(P43&gt;501, "I", IF(P43&gt;149, "II", IF(P43&gt;39, "III", "IV")))</f>
        <v>II</v>
      </c>
      <c r="R43" s="27" t="str">
        <f aca="false">IF(OR(Q43="I"),"NO ACEPTABLE",IF(OR(Q43="II")," NO ACEPTABLE O ACEPTABLE con control especifico",IF(OR(Q43="III"),"MEJORABLE (Mejorar el control existente) ",IF(OR(Q43="IV"),"ACEPTABLE mantener las medidas de control existentes"))))</f>
        <v> NO ACEPTABLE O ACEPTABLE con control especifico</v>
      </c>
      <c r="S43" s="23" t="s">
        <v>63</v>
      </c>
      <c r="T43" s="23" t="n">
        <v>0</v>
      </c>
      <c r="U43" s="28" t="n">
        <v>3</v>
      </c>
      <c r="V43" s="23" t="n">
        <v>0</v>
      </c>
      <c r="W43" s="23" t="n">
        <v>0</v>
      </c>
      <c r="X43" s="28" t="n">
        <f aca="false">SUM(T43:W43)</f>
        <v>3</v>
      </c>
      <c r="Y43" s="22" t="s">
        <v>64</v>
      </c>
      <c r="Z43" s="22" t="s">
        <v>64</v>
      </c>
      <c r="AA43" s="22" t="s">
        <v>64</v>
      </c>
      <c r="AB43" s="22" t="s">
        <v>234</v>
      </c>
      <c r="AC43" s="22" t="s">
        <v>235</v>
      </c>
      <c r="AD43" s="23" t="s">
        <v>67</v>
      </c>
      <c r="AE43" s="27" t="n">
        <v>0</v>
      </c>
      <c r="AF43" s="27" t="n">
        <v>0</v>
      </c>
      <c r="AG43" s="29" t="n">
        <f aca="false">AF43*AE43</f>
        <v>0</v>
      </c>
      <c r="AH43" s="36" t="str">
        <f aca="false">IF(AND(AG43&gt;=2,AG43&lt;=4),"Bajo",IF(AND(AG43&gt;=6,AG43&lt;=8),"Medio",IF(AND(AG43&gt;=10,AG43&lt;=20),"Alto",IF(AND(AG43&gt;=24,AG43&lt;=40),"MuyAlto","No Especificado"))))</f>
        <v>No Especificado</v>
      </c>
      <c r="AI43" s="27" t="n">
        <f aca="false">O43</f>
        <v>60</v>
      </c>
      <c r="AJ43" s="27" t="n">
        <f aca="false">AI43*AG43</f>
        <v>0</v>
      </c>
      <c r="AK43" s="23" t="str">
        <f aca="false">IF(AJ43&gt;501, "I", IF(AJ43&gt;149, "II", IF(AJ43&gt;39, "III", "IV")))</f>
        <v>IV</v>
      </c>
      <c r="AL43" s="27" t="str">
        <f aca="false">IF(OR(AK43="I"),"NO ACEPTABLE",IF(OR(AK43="II")," NO ACEPTABLE O ACEPTABLE con control especifico",IF(OR(AK43="III"),"MEJORABLE (Mejorar el control existente) ",IF(OR(AK43="IV"),"ACEPTABLE mantener las medidas de control existentes"))))</f>
        <v>ACEPTABLE mantener las medidas de control existentes</v>
      </c>
      <c r="AM43" s="37" t="n">
        <f aca="false">(P43-AJ43)/(P43)</f>
        <v>1</v>
      </c>
      <c r="AN43" s="34"/>
      <c r="AO43" s="34"/>
      <c r="AP43" s="34"/>
      <c r="AQ43" s="34"/>
      <c r="AR43" s="34"/>
      <c r="AS43" s="34"/>
      <c r="AT43" s="34"/>
      <c r="AU43" s="34"/>
      <c r="AV43" s="34"/>
    </row>
    <row r="44" customFormat="false" ht="16.5" hidden="false" customHeight="true" outlineLevel="0" collapsed="false">
      <c r="A44" s="20"/>
      <c r="B44" s="21"/>
      <c r="C44" s="22"/>
      <c r="D44" s="23"/>
      <c r="E44" s="28"/>
      <c r="F44" s="28"/>
      <c r="G44" s="22"/>
      <c r="H44" s="23"/>
      <c r="I44" s="23"/>
      <c r="J44" s="23"/>
      <c r="K44" s="35"/>
      <c r="L44" s="35"/>
      <c r="M44" s="23"/>
      <c r="N44" s="25"/>
      <c r="O44" s="23"/>
      <c r="P44" s="23"/>
      <c r="Q44" s="26"/>
      <c r="R44" s="27"/>
      <c r="S44" s="23"/>
      <c r="T44" s="23"/>
      <c r="U44" s="24"/>
      <c r="V44" s="23"/>
      <c r="W44" s="23"/>
      <c r="X44" s="28"/>
      <c r="Y44" s="22"/>
      <c r="Z44" s="22"/>
      <c r="AA44" s="22"/>
      <c r="AB44" s="22"/>
      <c r="AC44" s="22"/>
      <c r="AD44" s="23"/>
      <c r="AE44" s="27"/>
      <c r="AF44" s="27"/>
      <c r="AG44" s="29"/>
      <c r="AH44" s="36"/>
      <c r="AI44" s="27"/>
      <c r="AJ44" s="27"/>
      <c r="AK44" s="23"/>
      <c r="AL44" s="27"/>
      <c r="AM44" s="37"/>
      <c r="AN44" s="34"/>
      <c r="AO44" s="34"/>
      <c r="AP44" s="34"/>
      <c r="AQ44" s="34"/>
      <c r="AR44" s="34"/>
      <c r="AS44" s="34"/>
      <c r="AT44" s="34"/>
      <c r="AU44" s="34"/>
      <c r="AV44" s="34"/>
    </row>
    <row r="45" customFormat="false" ht="16.5" hidden="false" customHeight="true" outlineLevel="0" collapsed="false">
      <c r="A45" s="20"/>
      <c r="B45" s="21"/>
      <c r="C45" s="22"/>
      <c r="D45" s="23"/>
      <c r="E45" s="28"/>
      <c r="F45" s="28"/>
      <c r="G45" s="22"/>
      <c r="H45" s="23"/>
      <c r="I45" s="23"/>
      <c r="J45" s="23"/>
      <c r="K45" s="35"/>
      <c r="L45" s="35"/>
      <c r="M45" s="23"/>
      <c r="N45" s="25"/>
      <c r="O45" s="23"/>
      <c r="P45" s="23"/>
      <c r="Q45" s="26"/>
      <c r="R45" s="27"/>
      <c r="S45" s="23"/>
      <c r="T45" s="23"/>
      <c r="U45" s="24"/>
      <c r="V45" s="23"/>
      <c r="W45" s="23"/>
      <c r="X45" s="28"/>
      <c r="Y45" s="22"/>
      <c r="Z45" s="22"/>
      <c r="AA45" s="22"/>
      <c r="AB45" s="22"/>
      <c r="AC45" s="22"/>
      <c r="AD45" s="23"/>
      <c r="AE45" s="27"/>
      <c r="AF45" s="27"/>
      <c r="AG45" s="29"/>
      <c r="AH45" s="36"/>
      <c r="AI45" s="27"/>
      <c r="AJ45" s="27"/>
      <c r="AK45" s="23"/>
      <c r="AL45" s="27"/>
      <c r="AM45" s="37"/>
      <c r="AN45" s="34"/>
      <c r="AO45" s="34"/>
      <c r="AP45" s="34"/>
      <c r="AQ45" s="34"/>
      <c r="AR45" s="34"/>
      <c r="AS45" s="34"/>
      <c r="AT45" s="34"/>
      <c r="AU45" s="34"/>
      <c r="AV45" s="34"/>
    </row>
    <row r="46" customFormat="false" ht="82.5" hidden="false" customHeight="true" outlineLevel="0" collapsed="false">
      <c r="A46" s="20"/>
      <c r="B46" s="43" t="s">
        <v>236</v>
      </c>
      <c r="C46" s="22" t="s">
        <v>237</v>
      </c>
      <c r="D46" s="22" t="s">
        <v>107</v>
      </c>
      <c r="E46" s="22" t="s">
        <v>238</v>
      </c>
      <c r="F46" s="22" t="s">
        <v>239</v>
      </c>
      <c r="G46" s="22" t="s">
        <v>240</v>
      </c>
      <c r="H46" s="23" t="s">
        <v>61</v>
      </c>
      <c r="I46" s="23" t="s">
        <v>61</v>
      </c>
      <c r="J46" s="23" t="s">
        <v>61</v>
      </c>
      <c r="K46" s="23" t="n">
        <v>2</v>
      </c>
      <c r="L46" s="23" t="n">
        <v>2</v>
      </c>
      <c r="M46" s="23" t="n">
        <f aca="false">+K46*L46</f>
        <v>4</v>
      </c>
      <c r="N46" s="23" t="str">
        <f aca="false">IF(AND(M46&gt;=2,M46&lt;=4),"Bajo",IF(AND(M46&gt;=6,M46&lt;=8),"Medio",IF(AND(M46&gt;=10,M46&lt;=20),"Alto",IF(AND(M46&gt;=24,M46&lt;=40),"MuyAlto","No Especificado"))))</f>
        <v>Bajo</v>
      </c>
      <c r="O46" s="23" t="n">
        <v>25</v>
      </c>
      <c r="P46" s="23" t="n">
        <f aca="false">M46*O46</f>
        <v>100</v>
      </c>
      <c r="Q46" s="26" t="str">
        <f aca="false">IF(P46&gt;501, "I", IF(P46&gt;149, "II", IF(P46&gt;39, "III", "IV")))</f>
        <v>III</v>
      </c>
      <c r="R46" s="23" t="str">
        <f aca="false">IF(OR(Q46="I"),"NO ACEPTABLE",IF(OR(Q46="II")," NO ACEPTABLE O ACEPTABLE con control especifico",IF(OR(Q46="III"),"MEJORABLE (Mejorar el control existente) ",IF(OR(Q46="IV"),"ACEPTABLE mantener las medidas de control existentes"))))</f>
        <v>MEJORABLE (Mejorar el control existente) </v>
      </c>
      <c r="S46" s="23" t="s">
        <v>241</v>
      </c>
      <c r="T46" s="28" t="n">
        <v>1512</v>
      </c>
      <c r="U46" s="30" t="n">
        <v>0</v>
      </c>
      <c r="V46" s="23" t="n">
        <v>0</v>
      </c>
      <c r="W46" s="23" t="n">
        <v>0</v>
      </c>
      <c r="X46" s="23" t="n">
        <f aca="false">+T46+U46+V46+W46</f>
        <v>1512</v>
      </c>
      <c r="Y46" s="22" t="s">
        <v>64</v>
      </c>
      <c r="Z46" s="22" t="s">
        <v>64</v>
      </c>
      <c r="AA46" s="22" t="s">
        <v>64</v>
      </c>
      <c r="AB46" s="22" t="s">
        <v>242</v>
      </c>
      <c r="AC46" s="22" t="s">
        <v>64</v>
      </c>
      <c r="AD46" s="23" t="s">
        <v>67</v>
      </c>
      <c r="AE46" s="27" t="n">
        <v>0</v>
      </c>
      <c r="AF46" s="27" t="n">
        <v>0</v>
      </c>
      <c r="AG46" s="29" t="n">
        <f aca="false">AF46*AE46</f>
        <v>0</v>
      </c>
      <c r="AH46" s="36" t="str">
        <f aca="false">IF(AND(AG46&gt;=2,AG46&lt;=4),"Bajo",IF(AND(AG46&gt;=6,AG46&lt;=8),"Medio",IF(AND(AG46&gt;=10,AG46&lt;=20),"Alto",IF(AND(AG46&gt;=24,AG46&lt;=40),"MuyAlto","No Especificado"))))</f>
        <v>No Especificado</v>
      </c>
      <c r="AI46" s="27" t="n">
        <f aca="false">O46</f>
        <v>25</v>
      </c>
      <c r="AJ46" s="27" t="n">
        <f aca="false">AI46*AG46</f>
        <v>0</v>
      </c>
      <c r="AK46" s="23" t="str">
        <f aca="false">IF(AJ46&gt;501, "I", IF(AJ46&gt;149, "II", IF(AJ46&gt;39, "III", "IV")))</f>
        <v>IV</v>
      </c>
      <c r="AL46" s="27" t="str">
        <f aca="false">IF(OR(AK46="I"),"NO ACEPTABLE",IF(OR(AK46="II")," NO ACEPTABLE O ACEPTABLE con control especifico",IF(OR(AK46="III"),"MEJORABLE (Mejorar el control existente) ",IF(OR(AK46="IV"),"ACEPTABLE mantener las medidas de control existentes"))))</f>
        <v>ACEPTABLE mantener las medidas de control existentes</v>
      </c>
      <c r="AM46" s="37" t="n">
        <f aca="false">(P46-AJ46)/(P46)</f>
        <v>1</v>
      </c>
      <c r="AN46" s="33"/>
      <c r="AO46" s="33"/>
      <c r="AP46" s="33"/>
      <c r="AQ46" s="33"/>
      <c r="AR46" s="33"/>
      <c r="AS46" s="33"/>
      <c r="AT46" s="33"/>
      <c r="AU46" s="33"/>
      <c r="AV46" s="34"/>
    </row>
    <row r="47" customFormat="false" ht="132" hidden="false" customHeight="true" outlineLevel="0" collapsed="false">
      <c r="A47" s="20"/>
      <c r="B47" s="43"/>
      <c r="C47" s="22" t="s">
        <v>243</v>
      </c>
      <c r="D47" s="23" t="s">
        <v>107</v>
      </c>
      <c r="E47" s="28" t="s">
        <v>108</v>
      </c>
      <c r="F47" s="22" t="s">
        <v>109</v>
      </c>
      <c r="G47" s="24" t="s">
        <v>110</v>
      </c>
      <c r="H47" s="23" t="s">
        <v>61</v>
      </c>
      <c r="I47" s="23" t="s">
        <v>61</v>
      </c>
      <c r="J47" s="23" t="s">
        <v>61</v>
      </c>
      <c r="K47" s="35" t="n">
        <v>2</v>
      </c>
      <c r="L47" s="35" t="n">
        <v>3</v>
      </c>
      <c r="M47" s="23" t="n">
        <f aca="false">+K47*L47</f>
        <v>6</v>
      </c>
      <c r="N47" s="25" t="str">
        <f aca="false">IF(AND(M47&gt;=2,M47&lt;=4),"Bajo",IF(AND(M47&gt;=6,M47&lt;=8),"Medio",IF(AND(M47&gt;=10,M47&lt;=20),"Alto",IF(AND(M47&gt;=24,M47&lt;=40),"MuyAlto","No Especificado"))))</f>
        <v>Medio</v>
      </c>
      <c r="O47" s="23" t="n">
        <v>10</v>
      </c>
      <c r="P47" s="23" t="n">
        <f aca="false">+O47*M47</f>
        <v>60</v>
      </c>
      <c r="Q47" s="26" t="str">
        <f aca="false">IF(P47&gt;501, "I", IF(P47&gt;149, "II", IF(P47&gt;39, "III", "IV")))</f>
        <v>III</v>
      </c>
      <c r="R47" s="23" t="str">
        <f aca="false">IF(OR(Q47="I"),"NO ACEPTABLE",IF(OR(Q47="II")," NO ACEPTABLE O ACEPTABLE con control especifico",IF(OR(Q47="III"),"MEJORABLE (Mejorar el control existente) ",IF(OR(Q47="IV"),"ACEPTABLE mantener las medidas de control existentes"))))</f>
        <v>MEJORABLE (Mejorar el control existente) </v>
      </c>
      <c r="S47" s="23" t="s">
        <v>241</v>
      </c>
      <c r="T47" s="23" t="n">
        <v>0</v>
      </c>
      <c r="U47" s="28" t="n">
        <v>3</v>
      </c>
      <c r="V47" s="23" t="n">
        <v>0</v>
      </c>
      <c r="W47" s="23" t="n">
        <v>0</v>
      </c>
      <c r="X47" s="28" t="n">
        <f aca="false">SUM(T47:W47)</f>
        <v>3</v>
      </c>
      <c r="Y47" s="22" t="s">
        <v>64</v>
      </c>
      <c r="Z47" s="22" t="s">
        <v>64</v>
      </c>
      <c r="AA47" s="22" t="s">
        <v>64</v>
      </c>
      <c r="AB47" s="23" t="s">
        <v>111</v>
      </c>
      <c r="AC47" s="22" t="s">
        <v>64</v>
      </c>
      <c r="AD47" s="23" t="s">
        <v>67</v>
      </c>
      <c r="AE47" s="27" t="n">
        <v>0</v>
      </c>
      <c r="AF47" s="27" t="n">
        <v>0</v>
      </c>
      <c r="AG47" s="29" t="n">
        <f aca="false">AF47*AE47</f>
        <v>0</v>
      </c>
      <c r="AH47" s="36" t="str">
        <f aca="false">IF(AND(AG47&gt;=2,AG47&lt;=4),"Bajo",IF(AND(AG47&gt;=6,AG47&lt;=8),"Medio",IF(AND(AG47&gt;=10,AG47&lt;=20),"Alto",IF(AND(AG47&gt;=24,AG47&lt;=40),"MuyAlto","No Especificado"))))</f>
        <v>No Especificado</v>
      </c>
      <c r="AI47" s="27" t="n">
        <f aca="false">O47</f>
        <v>10</v>
      </c>
      <c r="AJ47" s="27" t="n">
        <f aca="false">AI47*AG47</f>
        <v>0</v>
      </c>
      <c r="AK47" s="23" t="str">
        <f aca="false">IF(AJ47&gt;501, "I", IF(AJ47&gt;149, "II", IF(AJ47&gt;39, "III", "IV")))</f>
        <v>IV</v>
      </c>
      <c r="AL47" s="27" t="str">
        <f aca="false">IF(OR(AK47="I"),"NO ACEPTABLE",IF(OR(AK47="II")," NO ACEPTABLE O ACEPTABLE con control especifico",IF(OR(AK47="III"),"MEJORABLE (Mejorar el control existente) ",IF(OR(AK47="IV"),"ACEPTABLE mantener las medidas de control existentes"))))</f>
        <v>ACEPTABLE mantener las medidas de control existentes</v>
      </c>
      <c r="AM47" s="37" t="n">
        <f aca="false">(P47-AJ47)/(P47)</f>
        <v>1</v>
      </c>
      <c r="AN47" s="33"/>
      <c r="AO47" s="33"/>
      <c r="AP47" s="33"/>
      <c r="AQ47" s="33"/>
      <c r="AR47" s="33"/>
      <c r="AS47" s="33"/>
      <c r="AT47" s="33"/>
      <c r="AU47" s="33"/>
      <c r="AV47" s="34"/>
    </row>
    <row r="48" customFormat="false" ht="132" hidden="false" customHeight="true" outlineLevel="0" collapsed="false">
      <c r="A48" s="20"/>
      <c r="B48" s="36" t="s">
        <v>244</v>
      </c>
      <c r="C48" s="22" t="s">
        <v>245</v>
      </c>
      <c r="D48" s="22" t="s">
        <v>57</v>
      </c>
      <c r="E48" s="22" t="s">
        <v>238</v>
      </c>
      <c r="F48" s="22" t="s">
        <v>246</v>
      </c>
      <c r="G48" s="22" t="s">
        <v>247</v>
      </c>
      <c r="H48" s="22" t="s">
        <v>61</v>
      </c>
      <c r="I48" s="22" t="s">
        <v>61</v>
      </c>
      <c r="J48" s="22" t="s">
        <v>61</v>
      </c>
      <c r="K48" s="46" t="n">
        <v>2</v>
      </c>
      <c r="L48" s="46" t="n">
        <v>4</v>
      </c>
      <c r="M48" s="46" t="n">
        <f aca="false">+K48*L48</f>
        <v>8</v>
      </c>
      <c r="N48" s="25" t="str">
        <f aca="false">IF(AND(M48&gt;=2,M48&lt;=4),"Bajo",IF(AND(M48&gt;=6,M48&lt;=8),"Medio",IF(AND(M48&gt;=10,M48&lt;=20),"Alto",IF(AND(M48&gt;=24,M48&lt;=40),"MuyAlto","No Especificado"))))</f>
        <v>Medio</v>
      </c>
      <c r="O48" s="46" t="n">
        <v>25</v>
      </c>
      <c r="P48" s="46" t="n">
        <f aca="false">M48*O48</f>
        <v>200</v>
      </c>
      <c r="Q48" s="61" t="str">
        <f aca="false">IF(P48&gt;501, "I", IF(P48&gt;149, "II", IF(P48&gt;39, "III", "IV")))</f>
        <v>II</v>
      </c>
      <c r="R48" s="27" t="str">
        <f aca="false">IF(OR(Q48="I"),"NO ACEPTABLE",IF(OR(Q48="II")," NO ACEPTABLE O ACEPTABLE con control especifico",IF(OR(Q48="III"),"MEJORABLE (Mejorar el control existente) ",IF(OR(Q48="IV"),"ACEPTABLE mantener las medidas de control existentes"))))</f>
        <v> NO ACEPTABLE O ACEPTABLE con control especifico</v>
      </c>
      <c r="S48" s="23" t="s">
        <v>241</v>
      </c>
      <c r="T48" s="46" t="n">
        <v>2</v>
      </c>
      <c r="U48" s="46" t="n">
        <v>0</v>
      </c>
      <c r="V48" s="46" t="n">
        <v>0</v>
      </c>
      <c r="W48" s="46" t="n">
        <v>0</v>
      </c>
      <c r="X48" s="46" t="n">
        <f aca="false">+T48+U48+V48+W48</f>
        <v>2</v>
      </c>
      <c r="Y48" s="22" t="s">
        <v>64</v>
      </c>
      <c r="Z48" s="22" t="s">
        <v>64</v>
      </c>
      <c r="AA48" s="22" t="s">
        <v>64</v>
      </c>
      <c r="AB48" s="23" t="s">
        <v>248</v>
      </c>
      <c r="AC48" s="22" t="s">
        <v>64</v>
      </c>
      <c r="AD48" s="23" t="s">
        <v>67</v>
      </c>
      <c r="AE48" s="27" t="n">
        <v>0</v>
      </c>
      <c r="AF48" s="27" t="n">
        <v>0</v>
      </c>
      <c r="AG48" s="29" t="n">
        <f aca="false">AF48*AE48</f>
        <v>0</v>
      </c>
      <c r="AH48" s="36" t="str">
        <f aca="false">IF(AND(AG48&gt;=2,AG48&lt;=4),"Bajo",IF(AND(AG48&gt;=6,AG48&lt;=8),"Medio",IF(AND(AG48&gt;=10,AG48&lt;=20),"Alto",IF(AND(AG48&gt;=24,AG48&lt;=40),"MuyAlto","No Especificado"))))</f>
        <v>No Especificado</v>
      </c>
      <c r="AI48" s="27" t="n">
        <f aca="false">O48</f>
        <v>25</v>
      </c>
      <c r="AJ48" s="27" t="n">
        <f aca="false">AI48*AG48</f>
        <v>0</v>
      </c>
      <c r="AK48" s="23" t="str">
        <f aca="false">IF(AJ48&gt;501, "I", IF(AJ48&gt;149, "II", IF(AJ48&gt;39, "III", "IV")))</f>
        <v>IV</v>
      </c>
      <c r="AL48" s="27" t="str">
        <f aca="false">IF(OR(AK48="I"),"NO ACEPTABLE",IF(OR(AK48="II")," NO ACEPTABLE O ACEPTABLE con control especifico",IF(OR(AK48="III"),"MEJORABLE (Mejorar el control existente) ",IF(OR(AK48="IV"),"ACEPTABLE mantener las medidas de control existentes"))))</f>
        <v>ACEPTABLE mantener las medidas de control existentes</v>
      </c>
      <c r="AM48" s="37" t="n">
        <f aca="false">(P48-AJ48)/(P48)</f>
        <v>1</v>
      </c>
      <c r="AN48" s="34"/>
      <c r="AO48" s="34"/>
      <c r="AP48" s="34"/>
      <c r="AQ48" s="34"/>
      <c r="AR48" s="34"/>
      <c r="AS48" s="34"/>
      <c r="AT48" s="34"/>
      <c r="AU48" s="34"/>
      <c r="AV48" s="34"/>
    </row>
    <row r="49" customFormat="false" ht="132" hidden="false" customHeight="true" outlineLevel="0" collapsed="false">
      <c r="A49" s="20"/>
      <c r="B49" s="36"/>
      <c r="C49" s="22" t="s">
        <v>249</v>
      </c>
      <c r="D49" s="22" t="s">
        <v>57</v>
      </c>
      <c r="E49" s="22" t="s">
        <v>250</v>
      </c>
      <c r="F49" s="22" t="s">
        <v>228</v>
      </c>
      <c r="G49" s="22" t="s">
        <v>247</v>
      </c>
      <c r="H49" s="22" t="s">
        <v>61</v>
      </c>
      <c r="I49" s="22" t="s">
        <v>61</v>
      </c>
      <c r="J49" s="22" t="s">
        <v>61</v>
      </c>
      <c r="K49" s="46" t="n">
        <v>2</v>
      </c>
      <c r="L49" s="46" t="n">
        <v>4</v>
      </c>
      <c r="M49" s="46" t="n">
        <f aca="false">+K49*L49</f>
        <v>8</v>
      </c>
      <c r="N49" s="25" t="str">
        <f aca="false">IF(AND(M49&gt;=2,M49&lt;=4),"Bajo",IF(AND(M49&gt;=6,M49&lt;=8),"Medio",IF(AND(M49&gt;=10,M49&lt;=20),"Alto",IF(AND(M49&gt;=24,M49&lt;=40),"MuyAlto","No Especificado"))))</f>
        <v>Medio</v>
      </c>
      <c r="O49" s="46" t="n">
        <v>25</v>
      </c>
      <c r="P49" s="46" t="n">
        <f aca="false">M49*O49</f>
        <v>200</v>
      </c>
      <c r="Q49" s="61" t="str">
        <f aca="false">IF(P49&gt;501, "I", IF(P49&gt;149, "II", IF(P49&gt;39, "III", "IV")))</f>
        <v>II</v>
      </c>
      <c r="R49" s="27" t="str">
        <f aca="false">IF(OR(Q49="I"),"NO ACEPTABLE",IF(OR(Q49="II")," NO ACEPTABLE O ACEPTABLE con control especifico",IF(OR(Q49="III"),"MEJORABLE (Mejorar el control existente) ",IF(OR(Q49="IV"),"ACEPTABLE mantener las medidas de control existentes"))))</f>
        <v> NO ACEPTABLE O ACEPTABLE con control especifico</v>
      </c>
      <c r="S49" s="23" t="s">
        <v>241</v>
      </c>
      <c r="T49" s="46" t="n">
        <v>2</v>
      </c>
      <c r="U49" s="46" t="n">
        <v>0</v>
      </c>
      <c r="V49" s="46" t="n">
        <v>0</v>
      </c>
      <c r="W49" s="46" t="n">
        <v>0</v>
      </c>
      <c r="X49" s="46" t="n">
        <f aca="false">+T49+U49+V49+W49</f>
        <v>2</v>
      </c>
      <c r="Y49" s="22" t="s">
        <v>64</v>
      </c>
      <c r="Z49" s="22" t="s">
        <v>64</v>
      </c>
      <c r="AA49" s="22" t="s">
        <v>64</v>
      </c>
      <c r="AB49" s="23" t="s">
        <v>248</v>
      </c>
      <c r="AC49" s="22" t="s">
        <v>64</v>
      </c>
      <c r="AD49" s="23" t="s">
        <v>67</v>
      </c>
      <c r="AE49" s="27" t="n">
        <v>0</v>
      </c>
      <c r="AF49" s="27" t="n">
        <v>0</v>
      </c>
      <c r="AG49" s="29" t="n">
        <f aca="false">AF49*AE49</f>
        <v>0</v>
      </c>
      <c r="AH49" s="36" t="str">
        <f aca="false">IF(AND(AG49&gt;=2,AG49&lt;=4),"Bajo",IF(AND(AG49&gt;=6,AG49&lt;=8),"Medio",IF(AND(AG49&gt;=10,AG49&lt;=20),"Alto",IF(AND(AG49&gt;=24,AG49&lt;=40),"MuyAlto","No Especificado"))))</f>
        <v>No Especificado</v>
      </c>
      <c r="AI49" s="27" t="n">
        <f aca="false">O49</f>
        <v>25</v>
      </c>
      <c r="AJ49" s="27" t="n">
        <f aca="false">AI49*AG49</f>
        <v>0</v>
      </c>
      <c r="AK49" s="23" t="str">
        <f aca="false">IF(AJ49&gt;501, "I", IF(AJ49&gt;149, "II", IF(AJ49&gt;39, "III", "IV")))</f>
        <v>IV</v>
      </c>
      <c r="AL49" s="27" t="str">
        <f aca="false">IF(OR(AK49="I"),"NO ACEPTABLE",IF(OR(AK49="II")," NO ACEPTABLE O ACEPTABLE con control especifico",IF(OR(AK49="III"),"MEJORABLE (Mejorar el control existente) ",IF(OR(AK49="IV"),"ACEPTABLE mantener las medidas de control existentes"))))</f>
        <v>ACEPTABLE mantener las medidas de control existentes</v>
      </c>
      <c r="AM49" s="37" t="n">
        <f aca="false">(P49-AJ49)/(P49)</f>
        <v>1</v>
      </c>
      <c r="AN49" s="34"/>
      <c r="AO49" s="34"/>
      <c r="AP49" s="34"/>
      <c r="AQ49" s="34"/>
      <c r="AR49" s="34"/>
      <c r="AS49" s="34"/>
      <c r="AT49" s="34"/>
      <c r="AU49" s="34"/>
      <c r="AV49" s="34"/>
    </row>
    <row r="50" customFormat="false" ht="132" hidden="false" customHeight="true" outlineLevel="0" collapsed="false">
      <c r="A50" s="20"/>
      <c r="B50" s="36"/>
      <c r="C50" s="22" t="s">
        <v>251</v>
      </c>
      <c r="D50" s="22" t="s">
        <v>57</v>
      </c>
      <c r="E50" s="22" t="s">
        <v>108</v>
      </c>
      <c r="F50" s="22" t="s">
        <v>252</v>
      </c>
      <c r="G50" s="22" t="s">
        <v>253</v>
      </c>
      <c r="H50" s="22" t="s">
        <v>254</v>
      </c>
      <c r="I50" s="22" t="s">
        <v>61</v>
      </c>
      <c r="J50" s="22" t="s">
        <v>61</v>
      </c>
      <c r="K50" s="62" t="n">
        <v>2</v>
      </c>
      <c r="L50" s="62" t="n">
        <v>1</v>
      </c>
      <c r="M50" s="62" t="n">
        <f aca="false">+K50*L50</f>
        <v>2</v>
      </c>
      <c r="N50" s="25" t="str">
        <f aca="false">IF(AND(M50&gt;=2,M50&lt;=4),"Bajo",IF(AND(M50&gt;=6,M50&lt;=8),"Medio",IF(AND(M50&gt;=10,M50&lt;=20),"Alto",IF(AND(M50&gt;=24,M50&lt;=40),"MuyAlto","No Especificado"))))</f>
        <v>Bajo</v>
      </c>
      <c r="O50" s="62" t="n">
        <v>10</v>
      </c>
      <c r="P50" s="46" t="n">
        <f aca="false">M50*O50</f>
        <v>20</v>
      </c>
      <c r="Q50" s="63" t="str">
        <f aca="false">IF(P50&gt;501, "I", IF(P50&gt;149, "II", IF(P50&gt;39, "III", "IV")))</f>
        <v>IV</v>
      </c>
      <c r="R50" s="27" t="str">
        <f aca="false">IF(OR(Q50="I"),"NO ACEPTABLE",IF(OR(Q50="II")," NO ACEPTABLE O ACEPTABLE con control especifico",IF(OR(Q50="III"),"MEJORABLE (Mejorar el control existente) ",IF(OR(Q50="IV"),"ACEPTABLE mantener las medidas de control existentes"))))</f>
        <v>ACEPTABLE mantener las medidas de control existentes</v>
      </c>
      <c r="S50" s="23" t="s">
        <v>241</v>
      </c>
      <c r="T50" s="46" t="n">
        <v>2</v>
      </c>
      <c r="U50" s="46" t="n">
        <v>0</v>
      </c>
      <c r="V50" s="46" t="n">
        <v>0</v>
      </c>
      <c r="W50" s="46" t="n">
        <v>0</v>
      </c>
      <c r="X50" s="46" t="n">
        <f aca="false">+T50+U50+V50+W50</f>
        <v>2</v>
      </c>
      <c r="Y50" s="22" t="s">
        <v>64</v>
      </c>
      <c r="Z50" s="22" t="s">
        <v>64</v>
      </c>
      <c r="AA50" s="22" t="s">
        <v>64</v>
      </c>
      <c r="AB50" s="23" t="s">
        <v>255</v>
      </c>
      <c r="AC50" s="22" t="s">
        <v>64</v>
      </c>
      <c r="AD50" s="23" t="s">
        <v>67</v>
      </c>
      <c r="AE50" s="27" t="n">
        <v>0</v>
      </c>
      <c r="AF50" s="27" t="n">
        <v>0</v>
      </c>
      <c r="AG50" s="29" t="n">
        <f aca="false">AF50*AE50</f>
        <v>0</v>
      </c>
      <c r="AH50" s="36" t="str">
        <f aca="false">IF(AND(AG50&gt;=2,AG50&lt;=4),"Bajo",IF(AND(AG50&gt;=6,AG50&lt;=8),"Medio",IF(AND(AG50&gt;=10,AG50&lt;=20),"Alto",IF(AND(AG50&gt;=24,AG50&lt;=40),"MuyAlto","No Especificado"))))</f>
        <v>No Especificado</v>
      </c>
      <c r="AI50" s="27" t="n">
        <f aca="false">O50</f>
        <v>10</v>
      </c>
      <c r="AJ50" s="27" t="n">
        <f aca="false">AI50*AG50</f>
        <v>0</v>
      </c>
      <c r="AK50" s="23" t="str">
        <f aca="false">IF(AJ50&gt;501, "I", IF(AJ50&gt;149, "II", IF(AJ50&gt;39, "III", "IV")))</f>
        <v>IV</v>
      </c>
      <c r="AL50" s="27" t="str">
        <f aca="false">IF(OR(AK50="I"),"NO ACEPTABLE",IF(OR(AK50="II")," NO ACEPTABLE O ACEPTABLE con control especifico",IF(OR(AK50="III"),"MEJORABLE (Mejorar el control existente) ",IF(OR(AK50="IV"),"ACEPTABLE mantener las medidas de control existentes"))))</f>
        <v>ACEPTABLE mantener las medidas de control existentes</v>
      </c>
      <c r="AM50" s="37" t="n">
        <f aca="false">(P50-AJ50)/(P50)</f>
        <v>1</v>
      </c>
      <c r="AN50" s="34"/>
      <c r="AO50" s="34"/>
      <c r="AP50" s="34"/>
      <c r="AQ50" s="34"/>
      <c r="AR50" s="34"/>
      <c r="AS50" s="34"/>
      <c r="AT50" s="34"/>
      <c r="AU50" s="34"/>
      <c r="AV50" s="34"/>
    </row>
    <row r="51" customFormat="false" ht="132" hidden="false" customHeight="true" outlineLevel="0" collapsed="false">
      <c r="A51" s="20"/>
      <c r="B51" s="36"/>
      <c r="C51" s="22" t="s">
        <v>256</v>
      </c>
      <c r="D51" s="22" t="s">
        <v>57</v>
      </c>
      <c r="E51" s="22" t="s">
        <v>238</v>
      </c>
      <c r="F51" s="22" t="s">
        <v>239</v>
      </c>
      <c r="G51" s="22" t="s">
        <v>257</v>
      </c>
      <c r="H51" s="22" t="s">
        <v>254</v>
      </c>
      <c r="I51" s="22" t="s">
        <v>61</v>
      </c>
      <c r="J51" s="22" t="s">
        <v>61</v>
      </c>
      <c r="K51" s="44" t="n">
        <v>10</v>
      </c>
      <c r="L51" s="44" t="n">
        <v>1</v>
      </c>
      <c r="M51" s="44" t="n">
        <f aca="false">+K51*L51</f>
        <v>10</v>
      </c>
      <c r="N51" s="25" t="str">
        <f aca="false">IF(AND(M51&gt;=2,M51&lt;=4),"Bajo",IF(AND(M51&gt;=6,M51&lt;=8),"Medio",IF(AND(M51&gt;=10,M51&lt;=20),"Alto",IF(AND(M51&gt;=24,M51&lt;=40),"MuyAlto","No Especificado"))))</f>
        <v>Alto</v>
      </c>
      <c r="O51" s="44" t="n">
        <v>25</v>
      </c>
      <c r="P51" s="44" t="n">
        <f aca="false">M51*O51</f>
        <v>250</v>
      </c>
      <c r="Q51" s="60" t="str">
        <f aca="false">IF(P51&gt;501, "I", IF(P51&gt;149, "II", IF(P51&gt;39, "III", "IV")))</f>
        <v>II</v>
      </c>
      <c r="R51" s="27" t="str">
        <f aca="false">IF(OR(Q51="I"),"NO ACEPTABLE",IF(OR(Q51="II")," NO ACEPTABLE O ACEPTABLE con control especifico",IF(OR(Q51="III"),"MEJORABLE (Mejorar el control existente) ",IF(OR(Q51="IV"),"ACEPTABLE mantener las medidas de control existentes"))))</f>
        <v> NO ACEPTABLE O ACEPTABLE con control especifico</v>
      </c>
      <c r="S51" s="23" t="s">
        <v>241</v>
      </c>
      <c r="T51" s="46" t="n">
        <v>2</v>
      </c>
      <c r="U51" s="46" t="n">
        <v>0</v>
      </c>
      <c r="V51" s="46" t="n">
        <v>0</v>
      </c>
      <c r="W51" s="46" t="n">
        <v>0</v>
      </c>
      <c r="X51" s="46" t="n">
        <f aca="false">+T51+U51+V51+W51</f>
        <v>2</v>
      </c>
      <c r="Y51" s="22" t="s">
        <v>64</v>
      </c>
      <c r="Z51" s="22" t="s">
        <v>64</v>
      </c>
      <c r="AA51" s="22" t="s">
        <v>64</v>
      </c>
      <c r="AB51" s="23" t="s">
        <v>242</v>
      </c>
      <c r="AC51" s="22" t="s">
        <v>64</v>
      </c>
      <c r="AD51" s="23" t="s">
        <v>67</v>
      </c>
      <c r="AE51" s="27" t="n">
        <v>0</v>
      </c>
      <c r="AF51" s="27" t="n">
        <v>0</v>
      </c>
      <c r="AG51" s="27" t="n">
        <f aca="false">AF51*AE51</f>
        <v>0</v>
      </c>
      <c r="AH51" s="36" t="str">
        <f aca="false">IF(AND(AG51&gt;=2,AG51&lt;=4),"Bajo",IF(AND(AG51&gt;=6,AG51&lt;=8),"Medio",IF(AND(AG51&gt;=10,AG51&lt;=20),"Alto",IF(AND(AG51&gt;=24,AG51&lt;=40),"MuyAlto","No Especificado"))))</f>
        <v>No Especificado</v>
      </c>
      <c r="AI51" s="27" t="n">
        <f aca="false">O51</f>
        <v>25</v>
      </c>
      <c r="AJ51" s="27" t="n">
        <f aca="false">AI51*AG51</f>
        <v>0</v>
      </c>
      <c r="AK51" s="23" t="str">
        <f aca="false">IF(AJ51&gt;501, "I", IF(AJ51&gt;149, "II", IF(AJ51&gt;39, "III", "IV")))</f>
        <v>IV</v>
      </c>
      <c r="AL51" s="27" t="str">
        <f aca="false">IF(OR(AK51="I"),"NO ACEPTABLE",IF(OR(AK51="II")," NO ACEPTABLE O ACEPTABLE con control especifico",IF(OR(AK51="III"),"MEJORABLE (Mejorar el control existente) ",IF(OR(AK51="IV"),"ACEPTABLE mantener las medidas de control existentes"))))</f>
        <v>ACEPTABLE mantener las medidas de control existentes</v>
      </c>
      <c r="AM51" s="37" t="n">
        <f aca="false">(P51-AJ51)/(P51)</f>
        <v>1</v>
      </c>
      <c r="AN51" s="34"/>
      <c r="AO51" s="34"/>
      <c r="AP51" s="34"/>
      <c r="AQ51" s="34"/>
      <c r="AR51" s="34"/>
      <c r="AS51" s="34"/>
      <c r="AT51" s="34"/>
      <c r="AU51" s="34"/>
      <c r="AV51" s="34"/>
    </row>
    <row r="52" customFormat="false" ht="16.5" hidden="false" customHeight="true" outlineLevel="0" collapsed="false">
      <c r="A52" s="34" t="s">
        <v>112</v>
      </c>
      <c r="B52" s="34" t="s">
        <v>258</v>
      </c>
      <c r="C52" s="34" t="s">
        <v>259</v>
      </c>
      <c r="D52" s="34" t="s">
        <v>107</v>
      </c>
      <c r="E52" s="64" t="s">
        <v>260</v>
      </c>
      <c r="F52" s="34" t="s">
        <v>261</v>
      </c>
      <c r="G52" s="34" t="s">
        <v>262</v>
      </c>
      <c r="H52" s="34" t="s">
        <v>61</v>
      </c>
      <c r="I52" s="34" t="s">
        <v>61</v>
      </c>
      <c r="J52" s="34" t="s">
        <v>61</v>
      </c>
      <c r="K52" s="34" t="n">
        <v>6</v>
      </c>
      <c r="L52" s="34" t="n">
        <v>2</v>
      </c>
      <c r="M52" s="34" t="n">
        <f aca="false">+K52*L52</f>
        <v>12</v>
      </c>
      <c r="N52" s="34" t="str">
        <f aca="false">IF(AND(M52&gt;=2,M52&lt;=4),"Bajo",IF(AND(M52&gt;=6,M52&lt;=8),"Medio",IF(AND(M52&gt;=10,M52&lt;=20),"Alto",IF(AND(M52&gt;=24,M52&lt;=40),"MuyAlto","No Especificado"))))</f>
        <v>Alto</v>
      </c>
      <c r="O52" s="34" t="n">
        <v>60</v>
      </c>
      <c r="P52" s="34" t="n">
        <f aca="false">M52*O52</f>
        <v>720</v>
      </c>
      <c r="Q52" s="34" t="str">
        <f aca="false">IF(P52&gt;501, "I", IF(P52&gt;149, "II", IF(P52&gt;39, "III", "IV")))</f>
        <v>I</v>
      </c>
      <c r="R52" s="34" t="str">
        <f aca="false">IF(OR(Q52="I"),"NO ACEPTABLE",IF(OR(Q52="II")," NO ACEPTABLE O ACEPTABLE con control especifico",IF(OR(Q52="III"),"MEJORABLE (Mejorar el control existente) ",IF(OR(Q52="IV"),"ACEPTABLE mantener las medidas de control existentes"))))</f>
        <v>NO ACEPTABLE</v>
      </c>
      <c r="S52" s="34" t="s">
        <v>263</v>
      </c>
      <c r="T52" s="34" t="n">
        <v>0</v>
      </c>
      <c r="U52" s="34" t="n">
        <v>1</v>
      </c>
      <c r="V52" s="34" t="n">
        <v>0</v>
      </c>
      <c r="W52" s="34" t="n">
        <v>0</v>
      </c>
      <c r="X52" s="34" t="n">
        <f aca="false">SUM(T52:W52)</f>
        <v>1</v>
      </c>
      <c r="Y52" s="34" t="s">
        <v>64</v>
      </c>
      <c r="Z52" s="34" t="s">
        <v>64</v>
      </c>
      <c r="AA52" s="64" t="s">
        <v>264</v>
      </c>
      <c r="AB52" s="64" t="s">
        <v>265</v>
      </c>
      <c r="AC52" s="64" t="s">
        <v>266</v>
      </c>
      <c r="AD52" s="64" t="s">
        <v>67</v>
      </c>
      <c r="AE52" s="64" t="n">
        <v>0</v>
      </c>
      <c r="AF52" s="64" t="n">
        <v>0</v>
      </c>
      <c r="AG52" s="64" t="n">
        <f aca="false">AF52*AE52</f>
        <v>0</v>
      </c>
      <c r="AH52" s="64" t="str">
        <f aca="false">IF(AND(AG52&gt;=2,AG52&lt;=4),"Bajo",IF(AND(AG52&gt;=6,AG52&lt;=8),"Medio",IF(AND(AG52&gt;=10,AG52&lt;=20),"Alto",IF(AND(AG52&gt;=24,AG52&lt;=40),"MuyAlto","No Especificado"))))</f>
        <v>No Especificado</v>
      </c>
      <c r="AI52" s="64" t="n">
        <f aca="false">O52</f>
        <v>60</v>
      </c>
      <c r="AJ52" s="64" t="n">
        <f aca="false">AI52*AG52</f>
        <v>0</v>
      </c>
      <c r="AK52" s="64" t="str">
        <f aca="false">IF(AJ52&gt;501, "I", IF(AJ52&gt;149, "II", IF(AJ52&gt;39, "III", "IV")))</f>
        <v>IV</v>
      </c>
      <c r="AL52" s="64" t="str">
        <f aca="false">IF(OR(AK52="I"),"NO ACEPTABLE",IF(OR(AK52="II")," NO ACEPTABLE O ACEPTABLE con control especifico",IF(OR(AK52="III"),"MEJORABLE (Mejorar el control existente) ",IF(OR(AK52="IV"),"ACEPTABLE mantener las medidas de control existentes"))))</f>
        <v>ACEPTABLE mantener las medidas de control existentes</v>
      </c>
      <c r="AM52" s="64" t="n">
        <f aca="false">(P52-AJ52)/(P52)</f>
        <v>1</v>
      </c>
      <c r="AN52" s="34"/>
      <c r="AO52" s="34"/>
      <c r="AP52" s="34"/>
      <c r="AQ52" s="34"/>
      <c r="AR52" s="34"/>
      <c r="AS52" s="34"/>
      <c r="AT52" s="34"/>
      <c r="AU52" s="34" t="s">
        <v>267</v>
      </c>
      <c r="AV52" s="34"/>
    </row>
    <row r="53" customFormat="false" ht="16.5" hidden="false" customHeight="true" outlineLevel="0" collapsed="false">
      <c r="A53" s="65" t="s">
        <v>54</v>
      </c>
      <c r="B53" s="1" t="s">
        <v>268</v>
      </c>
      <c r="C53" s="1" t="s">
        <v>269</v>
      </c>
      <c r="D53" s="66" t="s">
        <v>57</v>
      </c>
      <c r="E53" s="1" t="s">
        <v>270</v>
      </c>
      <c r="F53" s="1" t="s">
        <v>271</v>
      </c>
      <c r="G53" s="34" t="s">
        <v>272</v>
      </c>
      <c r="H53" s="34" t="s">
        <v>61</v>
      </c>
      <c r="I53" s="34" t="s">
        <v>61</v>
      </c>
      <c r="J53" s="34" t="s">
        <v>273</v>
      </c>
      <c r="K53" s="67" t="n">
        <v>2</v>
      </c>
      <c r="L53" s="67" t="n">
        <v>3</v>
      </c>
      <c r="M53" s="67" t="n">
        <f aca="false">+K53*L53</f>
        <v>6</v>
      </c>
      <c r="N53" s="67" t="str">
        <f aca="false">IF(AND(M53&gt;=2,M53&lt;=4),"Bajo",IF(AND(M53&gt;=6,M53&lt;=8),"Medio",IF(AND(M53&gt;=10,M53&lt;=20),"Alto",IF(AND(M53&gt;=24,M53&lt;=40),"MuyAlto","No Especificado"))))</f>
        <v>Medio</v>
      </c>
      <c r="O53" s="67" t="n">
        <v>60</v>
      </c>
      <c r="P53" s="67" t="n">
        <f aca="false">M53*O53</f>
        <v>360</v>
      </c>
      <c r="Q53" s="68" t="str">
        <f aca="false">IF(P53&gt;501, "I", IF(P53&gt;149, "II", IF(P53&gt;39, "III", "IV")))</f>
        <v>II</v>
      </c>
      <c r="R53" s="68" t="str">
        <f aca="false">IF(OR(Q53="I"),"NO ACEPTABLE",IF(OR(Q53="II")," NO ACEPTABLE O ACEPTABLE con control especifico",IF(OR(Q53="III"),"MEJORABLE (Mejorar el control existente) ",IF(OR(Q53="IV"),"ACEPTABLE mantener las medidas de control existentes"))))</f>
        <v> NO ACEPTABLE O ACEPTABLE con control especifico</v>
      </c>
      <c r="S53" s="67" t="s">
        <v>274</v>
      </c>
      <c r="T53" s="67" t="n">
        <v>0</v>
      </c>
      <c r="U53" s="67" t="n">
        <v>1</v>
      </c>
      <c r="V53" s="67" t="n">
        <v>1</v>
      </c>
      <c r="W53" s="68" t="n">
        <v>3</v>
      </c>
      <c r="X53" s="68" t="n">
        <f aca="false">SUM(T53:W53)</f>
        <v>5</v>
      </c>
      <c r="Y53" s="68" t="s">
        <v>64</v>
      </c>
      <c r="Z53" s="69" t="s">
        <v>64</v>
      </c>
      <c r="AA53" s="70" t="s">
        <v>275</v>
      </c>
      <c r="AB53" s="70" t="s">
        <v>276</v>
      </c>
      <c r="AC53" s="67" t="s">
        <v>64</v>
      </c>
      <c r="AD53" s="68" t="s">
        <v>67</v>
      </c>
      <c r="AE53" s="68" t="n">
        <v>0</v>
      </c>
      <c r="AF53" s="68" t="n">
        <v>0</v>
      </c>
      <c r="AG53" s="68" t="n">
        <f aca="false">AF53*AE53</f>
        <v>0</v>
      </c>
      <c r="AH53" s="68" t="str">
        <f aca="false">IF(AND(AG53&gt;=2,AG53&lt;=4),"Bajo",IF(AND(AG53&gt;=6,AG53&lt;=8),"Medio",IF(AND(AG53&gt;=10,AG53&lt;=20),"Alto",IF(AND(AG53&gt;=24,AG53&lt;=40),"MuyAlto","No Especificado"))))</f>
        <v>No Especificado</v>
      </c>
      <c r="AI53" s="68" t="n">
        <f aca="false">O53</f>
        <v>60</v>
      </c>
      <c r="AJ53" s="68" t="n">
        <f aca="false">AI53*AG53</f>
        <v>0</v>
      </c>
      <c r="AK53" s="68" t="str">
        <f aca="false">IF(AJ53&gt;501, "I", IF(AJ53&gt;149, "II", IF(AJ53&gt;39, "III", "IV")))</f>
        <v>IV</v>
      </c>
      <c r="AL53" s="68" t="str">
        <f aca="false">IF(OR(AK53="I"),"NO ACEPTABLE",IF(OR(AK53="II")," NO ACEPTABLE O ACEPTABLE con control especifico",IF(OR(AK53="III"),"MEJORABLE (Mejorar el control existente) ",IF(OR(AK53="IV"),"ACEPTABLE mantener las medidas de control existentes"))))</f>
        <v>ACEPTABLE mantener las medidas de control existentes</v>
      </c>
      <c r="AM53" s="68" t="n">
        <f aca="false">(P53-AJ53)/(P53)</f>
        <v>1</v>
      </c>
      <c r="AN53" s="67"/>
      <c r="AO53" s="67"/>
      <c r="AP53" s="67"/>
      <c r="AQ53" s="67"/>
      <c r="AR53" s="67"/>
      <c r="AS53" s="68"/>
      <c r="AT53" s="68"/>
      <c r="AU53" s="68" t="s">
        <v>277</v>
      </c>
      <c r="AV53" s="71"/>
    </row>
    <row r="54" customFormat="false" ht="16.5" hidden="false" customHeight="true" outlineLevel="0" collapsed="false">
      <c r="A54" s="65" t="s">
        <v>54</v>
      </c>
      <c r="B54" s="1" t="s">
        <v>278</v>
      </c>
      <c r="C54" s="1" t="s">
        <v>279</v>
      </c>
      <c r="D54" s="72" t="s">
        <v>57</v>
      </c>
      <c r="E54" s="1" t="s">
        <v>270</v>
      </c>
      <c r="F54" s="1" t="s">
        <v>280</v>
      </c>
      <c r="G54" s="34" t="s">
        <v>281</v>
      </c>
      <c r="H54" s="34" t="s">
        <v>61</v>
      </c>
      <c r="I54" s="34" t="s">
        <v>61</v>
      </c>
      <c r="J54" s="34" t="s">
        <v>282</v>
      </c>
      <c r="K54" s="73" t="n">
        <v>2</v>
      </c>
      <c r="L54" s="73" t="n">
        <v>2</v>
      </c>
      <c r="M54" s="73" t="n">
        <f aca="false">+K54*L54</f>
        <v>4</v>
      </c>
      <c r="N54" s="68" t="str">
        <f aca="false">IF(AND(M54&gt;=2,M54&lt;=4),"Bajo",IF(AND(M54&gt;=6,M54&lt;=8),"Medio",IF(AND(M54&gt;=10,M54&lt;=20),"Alto",IF(AND(M54&gt;=24,M54&lt;=40),"MuyAlto","No Especificado"))))</f>
        <v>Bajo</v>
      </c>
      <c r="O54" s="73" t="n">
        <v>60</v>
      </c>
      <c r="P54" s="73" t="n">
        <f aca="false">M54*O54</f>
        <v>240</v>
      </c>
      <c r="Q54" s="73" t="str">
        <f aca="false">IF(P54&gt;501, "I", IF(P54&gt;149, "II", IF(P54&gt;39, "III", "IV")))</f>
        <v>II</v>
      </c>
      <c r="R54" s="73" t="str">
        <f aca="false">IF(OR(Q54="I"),"NO ACEPTABLE",IF(OR(Q54="II")," NO ACEPTABLE O ACEPTABLE con control especifico",IF(OR(Q54="III"),"MEJORABLE (Mejorar el control existente) ",IF(OR(Q54="IV"),"ACEPTABLE mantener las medidas de control existentes"))))</f>
        <v> NO ACEPTABLE O ACEPTABLE con control especifico</v>
      </c>
      <c r="S54" s="73" t="s">
        <v>123</v>
      </c>
      <c r="T54" s="73" t="n">
        <v>0</v>
      </c>
      <c r="U54" s="73" t="n">
        <v>1</v>
      </c>
      <c r="V54" s="74" t="n">
        <v>0</v>
      </c>
      <c r="W54" s="74" t="n">
        <v>1</v>
      </c>
      <c r="X54" s="74" t="n">
        <f aca="false">SUM(T54:W54)</f>
        <v>2</v>
      </c>
      <c r="Y54" s="68" t="s">
        <v>64</v>
      </c>
      <c r="Z54" s="73" t="s">
        <v>64</v>
      </c>
      <c r="AA54" s="75" t="s">
        <v>283</v>
      </c>
      <c r="AB54" s="76" t="s">
        <v>284</v>
      </c>
      <c r="AC54" s="76" t="s">
        <v>64</v>
      </c>
      <c r="AD54" s="77" t="s">
        <v>67</v>
      </c>
      <c r="AE54" s="77" t="n">
        <v>0</v>
      </c>
      <c r="AF54" s="77" t="n">
        <v>0</v>
      </c>
      <c r="AG54" s="68" t="n">
        <f aca="false">AF54*AE54</f>
        <v>0</v>
      </c>
      <c r="AH54" s="68" t="str">
        <f aca="false">IF(AND(AG54&gt;=2,AG54&lt;=4),"Bajo",IF(AND(AG54&gt;=6,AG54&lt;=8),"Medio",IF(AND(AG54&gt;=10,AG54&lt;=20),"Alto",IF(AND(AG54&gt;=24,AG54&lt;=40),"MuyAlto","No Especificado"))))</f>
        <v>No Especificado</v>
      </c>
      <c r="AI54" s="68" t="n">
        <f aca="false">O54</f>
        <v>60</v>
      </c>
      <c r="AJ54" s="68" t="n">
        <f aca="false">AI54*AG54</f>
        <v>0</v>
      </c>
      <c r="AK54" s="68" t="str">
        <f aca="false">IF(AJ54&gt;501, "I", IF(AJ54&gt;149, "II", IF(AJ54&gt;39, "III", "IV")))</f>
        <v>IV</v>
      </c>
      <c r="AL54" s="68" t="str">
        <f aca="false">IF(OR(AK54="I"),"NO ACEPTABLE",IF(OR(AK54="II")," NO ACEPTABLE O ACEPTABLE con control especifico",IF(OR(AK54="III"),"MEJORABLE (Mejorar el control existente) ",IF(OR(AK54="IV"),"ACEPTABLE mantener las medidas de control existentes"))))</f>
        <v>ACEPTABLE mantener las medidas de control existentes</v>
      </c>
      <c r="AM54" s="68" t="n">
        <f aca="false">(P54-AJ54)/(P54)</f>
        <v>1</v>
      </c>
      <c r="AN54" s="67"/>
      <c r="AO54" s="67"/>
      <c r="AP54" s="67"/>
      <c r="AQ54" s="67"/>
      <c r="AR54" s="67"/>
      <c r="AS54" s="68"/>
      <c r="AT54" s="68"/>
      <c r="AU54" s="68" t="s">
        <v>285</v>
      </c>
      <c r="AV54" s="71"/>
    </row>
    <row r="55" customFormat="false" ht="16.5" hidden="false" customHeight="true" outlineLevel="0" collapsed="false">
      <c r="A55" s="78" t="s">
        <v>54</v>
      </c>
      <c r="B55" s="1" t="s">
        <v>286</v>
      </c>
      <c r="C55" s="1" t="s">
        <v>287</v>
      </c>
      <c r="D55" s="79" t="s">
        <v>57</v>
      </c>
      <c r="E55" s="1" t="s">
        <v>288</v>
      </c>
      <c r="F55" s="1" t="s">
        <v>289</v>
      </c>
      <c r="G55" s="34" t="s">
        <v>290</v>
      </c>
      <c r="H55" s="34" t="s">
        <v>61</v>
      </c>
      <c r="I55" s="34" t="s">
        <v>61</v>
      </c>
      <c r="J55" s="34" t="s">
        <v>291</v>
      </c>
      <c r="K55" s="67" t="n">
        <v>2</v>
      </c>
      <c r="L55" s="67" t="n">
        <v>3</v>
      </c>
      <c r="M55" s="67" t="n">
        <f aca="false">+K55*L55</f>
        <v>6</v>
      </c>
      <c r="N55" s="67" t="str">
        <f aca="false">IF(AND(M55&gt;=2,M55&lt;=4),"Bajo",IF(AND(M55&gt;=6,M55&lt;=8),"Medio",IF(AND(M55&gt;=10,M55&lt;=20),"Alto",IF(AND(M55&gt;=24,M55&lt;=40),"MuyAlto","No Especificado"))))</f>
        <v>Medio</v>
      </c>
      <c r="O55" s="67" t="n">
        <v>25</v>
      </c>
      <c r="P55" s="67" t="n">
        <f aca="false">M55*O55</f>
        <v>150</v>
      </c>
      <c r="Q55" s="68" t="str">
        <f aca="false">IF(P55&gt;501, "I", IF(P55&gt;149, "II", IF(P55&gt;39, "III", "IV")))</f>
        <v>II</v>
      </c>
      <c r="R55" s="68" t="str">
        <f aca="false">IF(OR(Q55="I"),"NO ACEPTABLE",IF(OR(Q55="II")," NO ACEPTABLE O ACEPTABLE con control especifico",IF(OR(Q55="III"),"MEJORABLE (Mejorar el control existente) ",IF(OR(Q55="IV"),"ACEPTABLE mantener las medidas de control existentes"))))</f>
        <v> NO ACEPTABLE O ACEPTABLE con control especifico</v>
      </c>
      <c r="S55" s="67" t="s">
        <v>123</v>
      </c>
      <c r="T55" s="67" t="n">
        <v>0</v>
      </c>
      <c r="U55" s="67" t="n">
        <v>1</v>
      </c>
      <c r="V55" s="67" t="n">
        <v>0</v>
      </c>
      <c r="W55" s="68" t="n">
        <v>2</v>
      </c>
      <c r="X55" s="68" t="n">
        <f aca="false">SUM(T55:W55)</f>
        <v>3</v>
      </c>
      <c r="Y55" s="68" t="s">
        <v>64</v>
      </c>
      <c r="Z55" s="69" t="s">
        <v>64</v>
      </c>
      <c r="AA55" s="70" t="s">
        <v>292</v>
      </c>
      <c r="AB55" s="70" t="s">
        <v>293</v>
      </c>
      <c r="AC55" s="67" t="s">
        <v>64</v>
      </c>
      <c r="AD55" s="68" t="s">
        <v>67</v>
      </c>
      <c r="AE55" s="68" t="n">
        <v>0</v>
      </c>
      <c r="AF55" s="68" t="n">
        <v>0</v>
      </c>
      <c r="AG55" s="68" t="n">
        <f aca="false">AF55*AE55</f>
        <v>0</v>
      </c>
      <c r="AH55" s="68" t="str">
        <f aca="false">IF(AND(AG55&gt;=2,AG55&lt;=4),"Bajo",IF(AND(AG55&gt;=6,AG55&lt;=8),"Medio",IF(AND(AG55&gt;=10,AG55&lt;=20),"Alto",IF(AND(AG55&gt;=24,AG55&lt;=40),"MuyAlto","No Especificado"))))</f>
        <v>No Especificado</v>
      </c>
      <c r="AI55" s="68" t="n">
        <f aca="false">O55</f>
        <v>25</v>
      </c>
      <c r="AJ55" s="68" t="n">
        <f aca="false">AI55*AG55</f>
        <v>0</v>
      </c>
      <c r="AK55" s="68" t="str">
        <f aca="false">IF(AJ55&gt;501, "I", IF(AJ55&gt;149, "II", IF(AJ55&gt;39, "III", "IV")))</f>
        <v>IV</v>
      </c>
      <c r="AL55" s="68" t="str">
        <f aca="false">IF(OR(AK55="I"),"NO ACEPTABLE",IF(OR(AK55="II")," NO ACEPTABLE O ACEPTABLE con control especifico",IF(OR(AK55="III"),"MEJORABLE (Mejorar el control existente) ",IF(OR(AK55="IV"),"ACEPTABLE mantener las medidas de control existentes"))))</f>
        <v>ACEPTABLE mantener las medidas de control existentes</v>
      </c>
      <c r="AM55" s="68" t="n">
        <f aca="false">(P55-AJ55)/(P55)</f>
        <v>1</v>
      </c>
      <c r="AN55" s="67"/>
      <c r="AO55" s="67"/>
      <c r="AP55" s="67"/>
      <c r="AQ55" s="67"/>
      <c r="AR55" s="67"/>
      <c r="AS55" s="68"/>
      <c r="AT55" s="68"/>
      <c r="AU55" s="68" t="s">
        <v>294</v>
      </c>
      <c r="AV55" s="71"/>
    </row>
    <row r="56" customFormat="false" ht="16.5" hidden="false" customHeight="true" outlineLevel="0" collapsed="false">
      <c r="A56" s="34" t="s">
        <v>54</v>
      </c>
      <c r="B56" s="34" t="s">
        <v>295</v>
      </c>
      <c r="C56" s="34" t="s">
        <v>296</v>
      </c>
      <c r="D56" s="34" t="s">
        <v>107</v>
      </c>
      <c r="E56" s="64" t="s">
        <v>297</v>
      </c>
      <c r="F56" s="34" t="s">
        <v>298</v>
      </c>
      <c r="G56" s="34" t="s">
        <v>299</v>
      </c>
      <c r="H56" s="34" t="s">
        <v>61</v>
      </c>
      <c r="I56" s="34" t="s">
        <v>61</v>
      </c>
      <c r="J56" s="34" t="s">
        <v>300</v>
      </c>
      <c r="K56" s="34" t="n">
        <v>6</v>
      </c>
      <c r="L56" s="34" t="n">
        <v>2</v>
      </c>
      <c r="M56" s="34" t="n">
        <f aca="false">+K56*L56</f>
        <v>12</v>
      </c>
      <c r="N56" s="34" t="str">
        <f aca="false">IF(AND(M56&gt;=2,M56&lt;=4),"Bajo",IF(AND(M56&gt;=6,M56&lt;=8),"Medio",IF(AND(M56&gt;=10,M56&lt;=20),"Alto",IF(AND(M56&gt;=24,M56&lt;=40),"MuyAlto","No Especificado"))))</f>
        <v>Alto</v>
      </c>
      <c r="O56" s="34" t="n">
        <v>60</v>
      </c>
      <c r="P56" s="34" t="n">
        <f aca="false">M56*O56</f>
        <v>720</v>
      </c>
      <c r="Q56" s="34" t="str">
        <f aca="false">IF(P56&gt;501, "I", IF(P56&gt;149, "II", IF(P56&gt;39, "III", "IV")))</f>
        <v>I</v>
      </c>
      <c r="R56" s="34" t="str">
        <f aca="false">IF(OR(Q56="I"),"NO ACEPTABLE",IF(OR(Q56="II")," NO ACEPTABLE O ACEPTABLE con control especifico",IF(OR(Q56="III"),"MEJORABLE (Mejorar el control existente) ",IF(OR(Q56="IV"),"ACEPTABLE mantener las medidas de control existentes"))))</f>
        <v>NO ACEPTABLE</v>
      </c>
      <c r="S56" s="34" t="s">
        <v>301</v>
      </c>
      <c r="T56" s="34" t="n">
        <v>0</v>
      </c>
      <c r="U56" s="34" t="n">
        <v>0</v>
      </c>
      <c r="V56" s="34" t="n">
        <v>0</v>
      </c>
      <c r="W56" s="34" t="n">
        <v>4</v>
      </c>
      <c r="X56" s="34" t="n">
        <f aca="false">SUM(T56:W56)</f>
        <v>4</v>
      </c>
      <c r="Y56" s="34" t="s">
        <v>64</v>
      </c>
      <c r="Z56" s="34" t="s">
        <v>64</v>
      </c>
      <c r="AA56" s="64" t="s">
        <v>302</v>
      </c>
      <c r="AB56" s="64" t="s">
        <v>303</v>
      </c>
      <c r="AC56" s="64" t="s">
        <v>304</v>
      </c>
      <c r="AD56" s="34" t="s">
        <v>67</v>
      </c>
      <c r="AE56" s="34" t="n">
        <v>0</v>
      </c>
      <c r="AF56" s="34" t="n">
        <v>0</v>
      </c>
      <c r="AG56" s="34" t="n">
        <f aca="false">AF56*AE56</f>
        <v>0</v>
      </c>
      <c r="AH56" s="34" t="str">
        <f aca="false">IF(AND(AG56&gt;=2,AG56&lt;=4),"Bajo",IF(AND(AG56&gt;=6,AG56&lt;=8),"Medio",IF(AND(AG56&gt;=10,AG56&lt;=20),"Alto",IF(AND(AG56&gt;=24,AG56&lt;=40),"MuyAlto","No Especificado"))))</f>
        <v>No Especificado</v>
      </c>
      <c r="AI56" s="34" t="n">
        <f aca="false">O56</f>
        <v>60</v>
      </c>
      <c r="AJ56" s="34" t="n">
        <f aca="false">AI56*AG56</f>
        <v>0</v>
      </c>
      <c r="AK56" s="34" t="str">
        <f aca="false">IF(AJ56&gt;501, "I", IF(AJ56&gt;149, "II", IF(AJ56&gt;39, "III", "IV")))</f>
        <v>IV</v>
      </c>
      <c r="AL56" s="34" t="str">
        <f aca="false">IF(OR(AK56="I"),"NO ACEPTABLE",IF(OR(AK56="II")," NO ACEPTABLE O ACEPTABLE con control especifico",IF(OR(AK56="III"),"MEJORABLE (Mejorar el control existente) ",IF(OR(AK56="IV"),"ACEPTABLE mantener las medidas de control existentes"))))</f>
        <v>ACEPTABLE mantener las medidas de control existentes</v>
      </c>
      <c r="AM56" s="34" t="n">
        <f aca="false">(P56-AJ56)/(P56)</f>
        <v>1</v>
      </c>
      <c r="AN56" s="34"/>
      <c r="AO56" s="34"/>
      <c r="AP56" s="34"/>
      <c r="AQ56" s="34"/>
      <c r="AR56" s="34"/>
      <c r="AS56" s="34"/>
      <c r="AT56" s="34"/>
      <c r="AU56" s="34" t="s">
        <v>305</v>
      </c>
      <c r="AV56" s="34"/>
    </row>
    <row r="57" customFormat="false" ht="16.5" hidden="false" customHeight="true" outlineLevel="0" collapsed="false">
      <c r="A57" s="34"/>
      <c r="B57" s="34"/>
      <c r="C57" s="34"/>
      <c r="D57" s="34"/>
      <c r="E57" s="64"/>
      <c r="F57" s="34"/>
      <c r="G57" s="34"/>
      <c r="H57" s="34"/>
      <c r="I57" s="34"/>
      <c r="J57" s="34"/>
      <c r="K57" s="34"/>
      <c r="L57" s="34"/>
      <c r="M57" s="34"/>
      <c r="N57" s="34"/>
      <c r="O57" s="34"/>
      <c r="P57" s="34"/>
      <c r="Q57" s="34"/>
      <c r="R57" s="34"/>
      <c r="S57" s="34"/>
      <c r="T57" s="34"/>
      <c r="U57" s="34"/>
      <c r="V57" s="34"/>
      <c r="W57" s="34"/>
      <c r="X57" s="34"/>
      <c r="Y57" s="34"/>
      <c r="Z57" s="34"/>
      <c r="AA57" s="64"/>
      <c r="AB57" s="64"/>
      <c r="AC57" s="64"/>
      <c r="AD57" s="34"/>
      <c r="AE57" s="34"/>
      <c r="AF57" s="34"/>
      <c r="AG57" s="34"/>
      <c r="AH57" s="34"/>
      <c r="AI57" s="34"/>
      <c r="AJ57" s="34"/>
      <c r="AK57" s="34"/>
      <c r="AL57" s="34"/>
      <c r="AM57" s="34"/>
      <c r="AN57" s="34"/>
      <c r="AO57" s="34"/>
      <c r="AP57" s="34"/>
      <c r="AQ57" s="34"/>
      <c r="AR57" s="34"/>
      <c r="AS57" s="34"/>
      <c r="AT57" s="34"/>
      <c r="AU57" s="34"/>
      <c r="AV57" s="34"/>
    </row>
    <row r="58" customFormat="false" ht="16.5" hidden="false" customHeight="true" outlineLevel="0" collapsed="false">
      <c r="A58" s="34" t="s">
        <v>306</v>
      </c>
      <c r="B58" s="34"/>
      <c r="C58" s="34"/>
      <c r="D58" s="34" t="s">
        <v>307</v>
      </c>
      <c r="E58" s="64"/>
      <c r="F58" s="34"/>
      <c r="G58" s="34"/>
      <c r="H58" s="34"/>
      <c r="I58" s="34"/>
      <c r="J58" s="34"/>
      <c r="K58" s="34"/>
      <c r="L58" s="34"/>
      <c r="M58" s="34"/>
      <c r="N58" s="34"/>
      <c r="O58" s="34"/>
      <c r="P58" s="34"/>
      <c r="Q58" s="34"/>
      <c r="R58" s="34"/>
      <c r="S58" s="34"/>
      <c r="T58" s="34"/>
      <c r="U58" s="34"/>
      <c r="V58" s="34"/>
      <c r="W58" s="34"/>
      <c r="X58" s="34"/>
      <c r="Y58" s="34"/>
      <c r="Z58" s="34"/>
      <c r="AA58" s="64"/>
      <c r="AB58" s="64"/>
      <c r="AC58" s="64"/>
      <c r="AD58" s="34"/>
      <c r="AE58" s="34"/>
      <c r="AF58" s="34"/>
      <c r="AG58" s="34"/>
      <c r="AH58" s="34"/>
      <c r="AI58" s="34"/>
      <c r="AJ58" s="34"/>
      <c r="AK58" s="34"/>
      <c r="AL58" s="34"/>
      <c r="AM58" s="34"/>
      <c r="AN58" s="34"/>
      <c r="AO58" s="34"/>
      <c r="AP58" s="34"/>
      <c r="AQ58" s="34"/>
      <c r="AR58" s="34"/>
      <c r="AS58" s="34"/>
      <c r="AT58" s="34"/>
      <c r="AU58" s="34"/>
      <c r="AV58" s="34"/>
    </row>
    <row r="59" customFormat="false" ht="16.5" hidden="false" customHeight="true" outlineLevel="0" collapsed="false">
      <c r="A59" s="34" t="s">
        <v>308</v>
      </c>
      <c r="B59" s="34"/>
      <c r="C59" s="34"/>
      <c r="D59" s="34" t="s">
        <v>309</v>
      </c>
      <c r="E59" s="64"/>
      <c r="F59" s="34"/>
      <c r="G59" s="34"/>
      <c r="H59" s="34"/>
      <c r="I59" s="34"/>
      <c r="J59" s="34"/>
      <c r="K59" s="34"/>
      <c r="L59" s="34"/>
      <c r="M59" s="34"/>
      <c r="N59" s="34"/>
      <c r="O59" s="34"/>
      <c r="P59" s="34"/>
      <c r="Q59" s="34"/>
      <c r="R59" s="34"/>
      <c r="S59" s="34"/>
      <c r="T59" s="34"/>
      <c r="U59" s="34"/>
      <c r="V59" s="34"/>
      <c r="W59" s="34"/>
      <c r="X59" s="34"/>
      <c r="Y59" s="34"/>
      <c r="Z59" s="34"/>
      <c r="AA59" s="64"/>
      <c r="AB59" s="64"/>
      <c r="AC59" s="64"/>
      <c r="AD59" s="34"/>
      <c r="AE59" s="34"/>
      <c r="AF59" s="34"/>
      <c r="AG59" s="34"/>
      <c r="AH59" s="34"/>
      <c r="AI59" s="34"/>
      <c r="AJ59" s="34"/>
      <c r="AK59" s="34"/>
      <c r="AL59" s="34"/>
      <c r="AM59" s="34"/>
      <c r="AN59" s="34"/>
      <c r="AO59" s="34"/>
      <c r="AP59" s="34"/>
      <c r="AQ59" s="34"/>
      <c r="AR59" s="34"/>
      <c r="AS59" s="34"/>
      <c r="AT59" s="34"/>
      <c r="AU59" s="34"/>
      <c r="AV59" s="34"/>
    </row>
    <row r="60" customFormat="false" ht="16.5" hidden="false" customHeight="true" outlineLevel="0" collapsed="false">
      <c r="A60" s="34" t="s">
        <v>310</v>
      </c>
      <c r="B60" s="34"/>
      <c r="C60" s="34"/>
      <c r="D60" s="34" t="s">
        <v>311</v>
      </c>
      <c r="E60" s="64"/>
      <c r="F60" s="34"/>
      <c r="G60" s="34"/>
      <c r="H60" s="34"/>
      <c r="I60" s="34"/>
      <c r="J60" s="34"/>
      <c r="K60" s="34"/>
      <c r="L60" s="34"/>
      <c r="M60" s="34"/>
      <c r="N60" s="34"/>
      <c r="O60" s="34"/>
      <c r="P60" s="34"/>
      <c r="Q60" s="34"/>
      <c r="R60" s="34"/>
      <c r="S60" s="34"/>
      <c r="T60" s="34"/>
      <c r="U60" s="34"/>
      <c r="V60" s="34"/>
      <c r="W60" s="34"/>
      <c r="X60" s="34"/>
      <c r="Y60" s="34"/>
      <c r="Z60" s="34"/>
      <c r="AA60" s="64"/>
      <c r="AB60" s="64"/>
      <c r="AC60" s="64"/>
      <c r="AD60" s="34"/>
      <c r="AE60" s="34"/>
      <c r="AF60" s="34"/>
      <c r="AG60" s="34"/>
      <c r="AH60" s="34"/>
      <c r="AI60" s="34"/>
      <c r="AJ60" s="34"/>
      <c r="AK60" s="34"/>
      <c r="AL60" s="34"/>
      <c r="AM60" s="34"/>
      <c r="AN60" s="34"/>
      <c r="AO60" s="34"/>
      <c r="AP60" s="34"/>
      <c r="AQ60" s="34"/>
      <c r="AR60" s="34"/>
      <c r="AS60" s="34"/>
      <c r="AT60" s="34"/>
      <c r="AU60" s="34"/>
      <c r="AV60" s="34"/>
    </row>
    <row r="61" customFormat="false" ht="16.5" hidden="false" customHeight="true" outlineLevel="0" collapsed="false">
      <c r="A61" s="34" t="s">
        <v>312</v>
      </c>
      <c r="B61" s="34"/>
      <c r="C61" s="34"/>
      <c r="D61" s="34" t="s">
        <v>313</v>
      </c>
      <c r="E61" s="64"/>
      <c r="F61" s="34"/>
      <c r="G61" s="34"/>
      <c r="H61" s="34"/>
      <c r="I61" s="34"/>
      <c r="J61" s="34"/>
      <c r="K61" s="34"/>
      <c r="L61" s="34"/>
      <c r="M61" s="34"/>
      <c r="N61" s="34"/>
      <c r="O61" s="34"/>
      <c r="P61" s="34"/>
      <c r="Q61" s="34"/>
      <c r="R61" s="34"/>
      <c r="S61" s="34"/>
      <c r="T61" s="34"/>
      <c r="U61" s="34"/>
      <c r="V61" s="34"/>
      <c r="W61" s="34"/>
      <c r="X61" s="34"/>
      <c r="Y61" s="34"/>
      <c r="Z61" s="34"/>
      <c r="AA61" s="64"/>
      <c r="AB61" s="64"/>
      <c r="AC61" s="64"/>
      <c r="AD61" s="34"/>
      <c r="AE61" s="34"/>
      <c r="AF61" s="34"/>
      <c r="AG61" s="34"/>
      <c r="AH61" s="34"/>
      <c r="AI61" s="34"/>
      <c r="AJ61" s="34"/>
      <c r="AK61" s="34"/>
      <c r="AL61" s="34"/>
      <c r="AM61" s="34"/>
      <c r="AN61" s="34"/>
      <c r="AO61" s="34"/>
      <c r="AP61" s="34"/>
      <c r="AQ61" s="34"/>
      <c r="AR61" s="34"/>
      <c r="AS61" s="34"/>
      <c r="AT61" s="34"/>
      <c r="AU61" s="34"/>
      <c r="AV61" s="34"/>
    </row>
    <row r="62" customFormat="false" ht="16.5" hidden="false" customHeight="true" outlineLevel="0" collapsed="false">
      <c r="A62" s="34"/>
      <c r="B62" s="34"/>
      <c r="C62" s="34"/>
      <c r="D62" s="34"/>
      <c r="E62" s="64"/>
      <c r="F62" s="34"/>
      <c r="G62" s="34"/>
      <c r="H62" s="34"/>
      <c r="I62" s="34"/>
      <c r="J62" s="34"/>
      <c r="K62" s="34"/>
      <c r="L62" s="34"/>
      <c r="M62" s="34"/>
      <c r="N62" s="34"/>
      <c r="O62" s="34"/>
      <c r="P62" s="34"/>
      <c r="Q62" s="34"/>
      <c r="R62" s="34"/>
      <c r="S62" s="34"/>
      <c r="T62" s="34"/>
      <c r="U62" s="34"/>
      <c r="V62" s="34"/>
      <c r="W62" s="34"/>
      <c r="X62" s="34"/>
      <c r="Y62" s="34"/>
      <c r="Z62" s="34"/>
      <c r="AA62" s="64"/>
      <c r="AB62" s="64"/>
      <c r="AC62" s="64"/>
      <c r="AD62" s="34"/>
      <c r="AE62" s="34"/>
      <c r="AF62" s="34"/>
      <c r="AG62" s="34"/>
      <c r="AH62" s="34"/>
      <c r="AI62" s="34"/>
      <c r="AJ62" s="34"/>
      <c r="AK62" s="34"/>
      <c r="AL62" s="34"/>
      <c r="AM62" s="34"/>
      <c r="AN62" s="34"/>
      <c r="AO62" s="34"/>
      <c r="AP62" s="34"/>
      <c r="AQ62" s="34"/>
      <c r="AR62" s="34"/>
      <c r="AS62" s="34"/>
      <c r="AT62" s="34"/>
      <c r="AU62" s="34"/>
      <c r="AV62" s="34"/>
    </row>
    <row r="63" customFormat="false" ht="16.5" hidden="false" customHeight="true" outlineLevel="0" collapsed="false">
      <c r="A63" s="34"/>
      <c r="B63" s="34"/>
      <c r="C63" s="34"/>
      <c r="D63" s="34"/>
      <c r="E63" s="64"/>
      <c r="F63" s="34"/>
      <c r="G63" s="34"/>
      <c r="H63" s="34"/>
      <c r="I63" s="34"/>
      <c r="J63" s="34"/>
      <c r="K63" s="34"/>
      <c r="L63" s="34"/>
      <c r="M63" s="34"/>
      <c r="N63" s="34"/>
      <c r="O63" s="34"/>
      <c r="P63" s="34"/>
      <c r="Q63" s="34"/>
      <c r="R63" s="34"/>
      <c r="S63" s="34"/>
      <c r="T63" s="34"/>
      <c r="U63" s="34"/>
      <c r="V63" s="34"/>
      <c r="W63" s="34"/>
      <c r="X63" s="34"/>
      <c r="Y63" s="34"/>
      <c r="Z63" s="34"/>
      <c r="AA63" s="64"/>
      <c r="AB63" s="64"/>
      <c r="AC63" s="64"/>
      <c r="AD63" s="34"/>
      <c r="AE63" s="34"/>
      <c r="AF63" s="34"/>
      <c r="AG63" s="34"/>
      <c r="AH63" s="34"/>
      <c r="AI63" s="34"/>
      <c r="AJ63" s="34"/>
      <c r="AK63" s="34"/>
      <c r="AL63" s="34"/>
      <c r="AM63" s="34"/>
      <c r="AN63" s="34"/>
      <c r="AO63" s="34"/>
      <c r="AP63" s="34"/>
      <c r="AQ63" s="34"/>
      <c r="AR63" s="34"/>
      <c r="AS63" s="34"/>
      <c r="AT63" s="34"/>
      <c r="AU63" s="34"/>
      <c r="AV63" s="34"/>
    </row>
    <row r="64" customFormat="false" ht="16.5" hidden="false" customHeight="true" outlineLevel="0" collapsed="false">
      <c r="A64" s="34"/>
      <c r="B64" s="34"/>
      <c r="C64" s="34"/>
      <c r="D64" s="34"/>
      <c r="E64" s="64"/>
      <c r="F64" s="34"/>
      <c r="G64" s="34"/>
      <c r="H64" s="34"/>
      <c r="I64" s="34"/>
      <c r="J64" s="34"/>
      <c r="K64" s="34"/>
      <c r="L64" s="34"/>
      <c r="M64" s="34"/>
      <c r="N64" s="34"/>
      <c r="O64" s="34"/>
      <c r="P64" s="34"/>
      <c r="Q64" s="34"/>
      <c r="R64" s="34"/>
      <c r="S64" s="34"/>
      <c r="T64" s="34"/>
      <c r="U64" s="34"/>
      <c r="V64" s="34"/>
      <c r="W64" s="34"/>
      <c r="X64" s="34"/>
      <c r="Y64" s="34"/>
      <c r="Z64" s="34"/>
      <c r="AA64" s="64"/>
      <c r="AB64" s="64"/>
      <c r="AC64" s="64"/>
      <c r="AD64" s="34"/>
      <c r="AE64" s="34"/>
      <c r="AF64" s="34"/>
      <c r="AG64" s="34"/>
      <c r="AH64" s="34"/>
      <c r="AI64" s="34"/>
      <c r="AJ64" s="34"/>
      <c r="AK64" s="34"/>
      <c r="AL64" s="34"/>
      <c r="AM64" s="34"/>
      <c r="AN64" s="34"/>
      <c r="AO64" s="34"/>
      <c r="AP64" s="34"/>
      <c r="AQ64" s="34"/>
      <c r="AR64" s="34"/>
      <c r="AS64" s="34"/>
      <c r="AT64" s="34"/>
      <c r="AU64" s="34"/>
      <c r="AV64" s="34"/>
    </row>
    <row r="65" customFormat="false" ht="16.5" hidden="false" customHeight="true" outlineLevel="0" collapsed="false">
      <c r="A65" s="34"/>
      <c r="B65" s="34"/>
      <c r="C65" s="34"/>
      <c r="D65" s="34"/>
      <c r="E65" s="64"/>
      <c r="F65" s="34"/>
      <c r="G65" s="34"/>
      <c r="H65" s="34"/>
      <c r="I65" s="34"/>
      <c r="J65" s="34"/>
      <c r="K65" s="34"/>
      <c r="L65" s="34"/>
      <c r="M65" s="34"/>
      <c r="N65" s="34"/>
      <c r="O65" s="34"/>
      <c r="P65" s="34"/>
      <c r="Q65" s="34"/>
      <c r="R65" s="34"/>
      <c r="S65" s="34"/>
      <c r="T65" s="34"/>
      <c r="U65" s="34"/>
      <c r="V65" s="34"/>
      <c r="W65" s="34"/>
      <c r="X65" s="34"/>
      <c r="Y65" s="34"/>
      <c r="Z65" s="34"/>
      <c r="AA65" s="64"/>
      <c r="AB65" s="64"/>
      <c r="AC65" s="64"/>
      <c r="AD65" s="34"/>
      <c r="AE65" s="34"/>
      <c r="AF65" s="34"/>
      <c r="AG65" s="34"/>
      <c r="AH65" s="34"/>
      <c r="AI65" s="34"/>
      <c r="AJ65" s="34"/>
      <c r="AK65" s="34"/>
      <c r="AL65" s="34"/>
      <c r="AM65" s="34"/>
      <c r="AN65" s="34"/>
      <c r="AO65" s="34"/>
      <c r="AP65" s="34"/>
      <c r="AQ65" s="34"/>
      <c r="AR65" s="34"/>
      <c r="AS65" s="34"/>
      <c r="AT65" s="34"/>
      <c r="AU65" s="34"/>
      <c r="AV65" s="34"/>
    </row>
    <row r="66" customFormat="false" ht="16.5" hidden="false" customHeight="true" outlineLevel="0" collapsed="false">
      <c r="A66" s="34"/>
      <c r="B66" s="34"/>
      <c r="C66" s="34"/>
      <c r="D66" s="34"/>
      <c r="E66" s="64"/>
      <c r="F66" s="34"/>
      <c r="G66" s="34"/>
      <c r="H66" s="34"/>
      <c r="I66" s="34"/>
      <c r="J66" s="34"/>
      <c r="K66" s="34"/>
      <c r="L66" s="34"/>
      <c r="M66" s="34"/>
      <c r="N66" s="34"/>
      <c r="O66" s="34"/>
      <c r="P66" s="34"/>
      <c r="Q66" s="34"/>
      <c r="R66" s="34"/>
      <c r="S66" s="34"/>
      <c r="T66" s="34"/>
      <c r="U66" s="34"/>
      <c r="V66" s="34"/>
      <c r="W66" s="34"/>
      <c r="X66" s="34"/>
      <c r="Y66" s="34"/>
      <c r="Z66" s="34"/>
      <c r="AA66" s="64"/>
      <c r="AB66" s="64"/>
      <c r="AC66" s="64"/>
      <c r="AD66" s="34"/>
      <c r="AE66" s="34"/>
      <c r="AF66" s="34"/>
      <c r="AG66" s="34"/>
      <c r="AH66" s="34"/>
      <c r="AI66" s="34"/>
      <c r="AJ66" s="34"/>
      <c r="AK66" s="34"/>
      <c r="AL66" s="34"/>
      <c r="AM66" s="34"/>
      <c r="AN66" s="34"/>
      <c r="AO66" s="34"/>
      <c r="AP66" s="34"/>
      <c r="AQ66" s="34"/>
      <c r="AR66" s="34"/>
      <c r="AS66" s="34"/>
      <c r="AT66" s="34"/>
      <c r="AU66" s="34"/>
      <c r="AV66" s="34"/>
    </row>
    <row r="67" customFormat="false" ht="16.5" hidden="false" customHeight="true" outlineLevel="0" collapsed="false">
      <c r="A67" s="34"/>
      <c r="B67" s="34"/>
      <c r="C67" s="34"/>
      <c r="D67" s="34"/>
      <c r="E67" s="64"/>
      <c r="F67" s="34"/>
      <c r="G67" s="34"/>
      <c r="H67" s="34"/>
      <c r="I67" s="34"/>
      <c r="J67" s="34"/>
      <c r="K67" s="34"/>
      <c r="L67" s="34"/>
      <c r="M67" s="34"/>
      <c r="N67" s="34"/>
      <c r="O67" s="34"/>
      <c r="P67" s="34"/>
      <c r="Q67" s="34"/>
      <c r="R67" s="34"/>
      <c r="S67" s="34"/>
      <c r="T67" s="34"/>
      <c r="U67" s="34"/>
      <c r="V67" s="34"/>
      <c r="W67" s="34"/>
      <c r="X67" s="34"/>
      <c r="Y67" s="34"/>
      <c r="Z67" s="34"/>
      <c r="AA67" s="64"/>
      <c r="AB67" s="64"/>
      <c r="AC67" s="64"/>
      <c r="AD67" s="34"/>
      <c r="AE67" s="34"/>
      <c r="AF67" s="34"/>
      <c r="AG67" s="34"/>
      <c r="AH67" s="34"/>
      <c r="AI67" s="34"/>
      <c r="AJ67" s="34"/>
      <c r="AK67" s="34"/>
      <c r="AL67" s="34"/>
      <c r="AM67" s="34"/>
      <c r="AN67" s="34"/>
      <c r="AO67" s="34"/>
      <c r="AP67" s="34"/>
      <c r="AQ67" s="34"/>
      <c r="AR67" s="34"/>
      <c r="AS67" s="34"/>
      <c r="AT67" s="34"/>
      <c r="AU67" s="34"/>
      <c r="AV67" s="34"/>
    </row>
    <row r="68" customFormat="false" ht="16.5" hidden="false" customHeight="true" outlineLevel="0" collapsed="false">
      <c r="A68" s="34"/>
      <c r="B68" s="34"/>
      <c r="C68" s="34"/>
      <c r="D68" s="34"/>
      <c r="E68" s="64"/>
      <c r="F68" s="34"/>
      <c r="G68" s="34"/>
      <c r="H68" s="34"/>
      <c r="I68" s="34"/>
      <c r="J68" s="34"/>
      <c r="K68" s="34"/>
      <c r="L68" s="34"/>
      <c r="M68" s="34"/>
      <c r="N68" s="34"/>
      <c r="O68" s="34"/>
      <c r="P68" s="34"/>
      <c r="Q68" s="34"/>
      <c r="R68" s="34"/>
      <c r="S68" s="34"/>
      <c r="T68" s="34"/>
      <c r="U68" s="34"/>
      <c r="V68" s="34"/>
      <c r="W68" s="34"/>
      <c r="X68" s="34"/>
      <c r="Y68" s="34"/>
      <c r="Z68" s="34"/>
      <c r="AA68" s="64"/>
      <c r="AB68" s="64"/>
      <c r="AC68" s="64"/>
      <c r="AD68" s="34"/>
      <c r="AE68" s="34"/>
      <c r="AF68" s="34"/>
      <c r="AG68" s="34"/>
      <c r="AH68" s="34"/>
      <c r="AI68" s="34"/>
      <c r="AJ68" s="34"/>
      <c r="AK68" s="34"/>
      <c r="AL68" s="34"/>
      <c r="AM68" s="34"/>
      <c r="AN68" s="34"/>
      <c r="AO68" s="34"/>
      <c r="AP68" s="34"/>
      <c r="AQ68" s="34"/>
      <c r="AR68" s="34"/>
      <c r="AS68" s="34"/>
      <c r="AT68" s="34"/>
      <c r="AU68" s="34"/>
      <c r="AV68" s="34"/>
    </row>
    <row r="69" customFormat="false" ht="16.5" hidden="false" customHeight="true" outlineLevel="0" collapsed="false">
      <c r="A69" s="34"/>
      <c r="B69" s="34"/>
      <c r="C69" s="34"/>
      <c r="D69" s="34"/>
      <c r="E69" s="64"/>
      <c r="F69" s="34"/>
      <c r="G69" s="34"/>
      <c r="H69" s="34"/>
      <c r="I69" s="34"/>
      <c r="J69" s="34"/>
      <c r="K69" s="34"/>
      <c r="L69" s="34"/>
      <c r="M69" s="34"/>
      <c r="N69" s="34"/>
      <c r="O69" s="34"/>
      <c r="P69" s="34"/>
      <c r="Q69" s="34"/>
      <c r="R69" s="34"/>
      <c r="S69" s="34"/>
      <c r="T69" s="34"/>
      <c r="U69" s="34"/>
      <c r="V69" s="34"/>
      <c r="W69" s="34"/>
      <c r="X69" s="34"/>
      <c r="Y69" s="34"/>
      <c r="Z69" s="34"/>
      <c r="AA69" s="64"/>
      <c r="AB69" s="64"/>
      <c r="AC69" s="64"/>
      <c r="AD69" s="34"/>
      <c r="AE69" s="34"/>
      <c r="AF69" s="34"/>
      <c r="AG69" s="34"/>
      <c r="AH69" s="34"/>
      <c r="AI69" s="34"/>
      <c r="AJ69" s="34"/>
      <c r="AK69" s="34"/>
      <c r="AL69" s="34"/>
      <c r="AM69" s="34"/>
      <c r="AN69" s="34"/>
      <c r="AO69" s="34"/>
      <c r="AP69" s="34"/>
      <c r="AQ69" s="34"/>
      <c r="AR69" s="34"/>
      <c r="AS69" s="34"/>
      <c r="AT69" s="34"/>
      <c r="AU69" s="34"/>
      <c r="AV69" s="34"/>
    </row>
  </sheetData>
  <mergeCells count="61">
    <mergeCell ref="A1:X1"/>
    <mergeCell ref="A3:J3"/>
    <mergeCell ref="K3:X3"/>
    <mergeCell ref="Y3:AD3"/>
    <mergeCell ref="AE3:AL3"/>
    <mergeCell ref="AM3:AM6"/>
    <mergeCell ref="AN3:AR3"/>
    <mergeCell ref="AS3:AU3"/>
    <mergeCell ref="A4:D4"/>
    <mergeCell ref="E4:G4"/>
    <mergeCell ref="H4:J4"/>
    <mergeCell ref="K4:Q4"/>
    <mergeCell ref="R4:R6"/>
    <mergeCell ref="S4:X4"/>
    <mergeCell ref="Y4:Y6"/>
    <mergeCell ref="Z4:Z6"/>
    <mergeCell ref="AA4:AA6"/>
    <mergeCell ref="AB4:AB6"/>
    <mergeCell ref="AC4:AC6"/>
    <mergeCell ref="AD4:AD6"/>
    <mergeCell ref="AE4:AK4"/>
    <mergeCell ref="AL4:AL6"/>
    <mergeCell ref="AN4:AN6"/>
    <mergeCell ref="AO4:AO6"/>
    <mergeCell ref="AP4:AP6"/>
    <mergeCell ref="AQ4:AQ6"/>
    <mergeCell ref="AR4:AR6"/>
    <mergeCell ref="AS4:AS6"/>
    <mergeCell ref="AT4:AT6"/>
    <mergeCell ref="AU4:AU6"/>
    <mergeCell ref="A5:A6"/>
    <mergeCell ref="B5:B6"/>
    <mergeCell ref="C5:C6"/>
    <mergeCell ref="D5:D6"/>
    <mergeCell ref="E5:E6"/>
    <mergeCell ref="F5:F6"/>
    <mergeCell ref="G5:G6"/>
    <mergeCell ref="H5:H6"/>
    <mergeCell ref="I5:I6"/>
    <mergeCell ref="J5:J6"/>
    <mergeCell ref="K5:N5"/>
    <mergeCell ref="O5:O6"/>
    <mergeCell ref="P5:P6"/>
    <mergeCell ref="Q5:Q6"/>
    <mergeCell ref="S5:S6"/>
    <mergeCell ref="T5:T6"/>
    <mergeCell ref="U5:U6"/>
    <mergeCell ref="V5:V6"/>
    <mergeCell ref="W5:W6"/>
    <mergeCell ref="X5:X6"/>
    <mergeCell ref="AE5:AH5"/>
    <mergeCell ref="AI5:AI6"/>
    <mergeCell ref="AJ5:AJ6"/>
    <mergeCell ref="AK5:AK6"/>
    <mergeCell ref="A7:A51"/>
    <mergeCell ref="B7:B15"/>
    <mergeCell ref="B16:B31"/>
    <mergeCell ref="B32:B41"/>
    <mergeCell ref="B42:B43"/>
    <mergeCell ref="B46:B47"/>
    <mergeCell ref="B48:B51"/>
  </mergeCells>
  <printOptions headings="false" gridLines="false" gridLinesSet="true" horizontalCentered="false" verticalCentered="false"/>
  <pageMargins left="0.236111111111111" right="0.236111111111111" top="0.747916666666667" bottom="0.747916666666667" header="0.511811023622047" footer="0.511811023622047"/>
  <pageSetup paperSize="1" scale="24"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2024-01-18T14:22:21Z</dcterms:created>
  <dc:creator>Camilo Cano</dc:creator>
  <dc:description/>
  <dc:language>en-US</dc:language>
  <cp:lastModifiedBy>CARLA CRISTINA CASTELLANO MADRIZ</cp:lastModifiedBy>
  <cp:lastPrinted>2025-12-17T01:34:31Z</cp:lastPrinted>
  <dcterms:modified xsi:type="dcterms:W3CDTF">2026-08-05T16:16:12Z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